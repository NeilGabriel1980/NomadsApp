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atches" sheetId="2" state="visible" r:id="rId4"/>
    <sheet name="Goal Log" sheetId="3" state="visible" r:id="rId5"/>
    <sheet name="Top Scorers" sheetId="4" state="visible" r:id="rId6"/>
    <sheet name="Awards" sheetId="5" state="visible" r:id="rId7"/>
    <sheet name="Season Summary" sheetId="6" state="visible" r:id="rId8"/>
    <sheet name="Chart Data" sheetId="7" state="hidden" r:id="rId9"/>
    <sheet name="Milestones" sheetId="8" state="visible" r:id="rId10"/>
    <sheet name="Player Cards" sheetId="9" state="visible" r:id="rId11"/>
    <sheet name="Player Lookup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<sst xmlns="http://schemas.openxmlformats.org/spreadsheetml/2006/main" count="487" uniqueCount="129">
  <si>
    <t xml:space="preserve">NESTON NOMADS VIKINGS</t>
  </si>
  <si>
    <t xml:space="preserve">2025/26 SEASON DASHBOARD  ·  Division 5 → Division 4 → Summer League Champions 🏆</t>
  </si>
  <si>
    <t xml:space="preserve">MATCHES PLAYED</t>
  </si>
  <si>
    <t xml:space="preserve">WON</t>
  </si>
  <si>
    <t xml:space="preserve">DRAWN</t>
  </si>
  <si>
    <t xml:space="preserve">LOST</t>
  </si>
  <si>
    <t xml:space="preserve">GOALS FOR</t>
  </si>
  <si>
    <t xml:space="preserve">GOALS AGAINST</t>
  </si>
  <si>
    <t xml:space="preserve">GOAL DIFFERENCE</t>
  </si>
  <si>
    <t xml:space="preserve">WIN RATE</t>
  </si>
  <si>
    <t xml:space="preserve">PERFORMANCE AT A GLANCE</t>
  </si>
  <si>
    <t xml:space="preserve">CUP FINAL  🏆</t>
  </si>
  <si>
    <t xml:space="preserve">Neston Nomads Raiders 0 – 2 Neston Nomads Vikings
Goalscorers: Olly, Freddie   |   Man of the Match: Sam   |   Goal of the Week: Alex</t>
  </si>
  <si>
    <t xml:space="preserve">Built with pride for an incredible U8 season · See Matches, Top Scorers, Awards and Season Summary tabs for full detail</t>
  </si>
  <si>
    <t xml:space="preserve">Neston Nomads Vikings — 2025/26 Season — Match Results</t>
  </si>
  <si>
    <t xml:space="preserve">Match #</t>
  </si>
  <si>
    <t xml:space="preserve">Competition</t>
  </si>
  <si>
    <t xml:space="preserve">Type</t>
  </si>
  <si>
    <t xml:space="preserve">Home Team</t>
  </si>
  <si>
    <t xml:space="preserve">Away Team</t>
  </si>
  <si>
    <t xml:space="preserve">Home Score</t>
  </si>
  <si>
    <t xml:space="preserve">Away Score</t>
  </si>
  <si>
    <t xml:space="preserve">Vikings Result</t>
  </si>
  <si>
    <t xml:space="preserve">Vikings GF</t>
  </si>
  <si>
    <t xml:space="preserve">Vikings GA</t>
  </si>
  <si>
    <t xml:space="preserve">MOTM</t>
  </si>
  <si>
    <t xml:space="preserve">GOTW</t>
  </si>
  <si>
    <t xml:space="preserve">Match GD</t>
  </si>
  <si>
    <t xml:space="preserve">Cumulative GD</t>
  </si>
  <si>
    <t xml:space="preserve">Opponent</t>
  </si>
  <si>
    <t xml:space="preserve">Total Goals</t>
  </si>
  <si>
    <t xml:space="preserve">Win Margin</t>
  </si>
  <si>
    <t xml:space="preserve">Loss Margin</t>
  </si>
  <si>
    <t xml:space="preserve">Win Streak</t>
  </si>
  <si>
    <t xml:space="preserve">Unbeaten Streak</t>
  </si>
  <si>
    <t xml:space="preserve">Division 5</t>
  </si>
  <si>
    <t xml:space="preserve">Friendly</t>
  </si>
  <si>
    <t xml:space="preserve">Oldershaw Dynamos</t>
  </si>
  <si>
    <t xml:space="preserve">Neston Nomads Vikings</t>
  </si>
  <si>
    <t xml:space="preserve">Harry</t>
  </si>
  <si>
    <t xml:space="preserve">League</t>
  </si>
  <si>
    <t xml:space="preserve">Noah</t>
  </si>
  <si>
    <t xml:space="preserve">Wallasey Village</t>
  </si>
  <si>
    <t xml:space="preserve">Freddie</t>
  </si>
  <si>
    <t xml:space="preserve">Oldershaw Dragoons</t>
  </si>
  <si>
    <t xml:space="preserve">Team</t>
  </si>
  <si>
    <t xml:space="preserve">Groves FX</t>
  </si>
  <si>
    <t xml:space="preserve">Division 4</t>
  </si>
  <si>
    <t xml:space="preserve">Moreton Peru</t>
  </si>
  <si>
    <t xml:space="preserve">Max</t>
  </si>
  <si>
    <t xml:space="preserve">West Kirby</t>
  </si>
  <si>
    <t xml:space="preserve">Victoria Colts</t>
  </si>
  <si>
    <t xml:space="preserve">Sam</t>
  </si>
  <si>
    <t xml:space="preserve">Higher Bebington Celtics</t>
  </si>
  <si>
    <t xml:space="preserve">Olly</t>
  </si>
  <si>
    <t xml:space="preserve">Ellesmere Port</t>
  </si>
  <si>
    <t xml:space="preserve">Alex</t>
  </si>
  <si>
    <t xml:space="preserve">Will</t>
  </si>
  <si>
    <t xml:space="preserve">Neston Nomads Raiders</t>
  </si>
  <si>
    <t xml:space="preserve">Fredrick</t>
  </si>
  <si>
    <t xml:space="preserve">Heswall</t>
  </si>
  <si>
    <t xml:space="preserve">Edward</t>
  </si>
  <si>
    <t xml:space="preserve">Upton</t>
  </si>
  <si>
    <t xml:space="preserve">Neston Nomads Knights</t>
  </si>
  <si>
    <t xml:space="preserve">Wallasey</t>
  </si>
  <si>
    <t xml:space="preserve">Cammell Lairds</t>
  </si>
  <si>
    <t xml:space="preserve">Bebington</t>
  </si>
  <si>
    <t xml:space="preserve">Summer League</t>
  </si>
  <si>
    <t xml:space="preserve">Wallasey Pumas</t>
  </si>
  <si>
    <t xml:space="preserve">Saughall Colts</t>
  </si>
  <si>
    <t xml:space="preserve">Final 🏆</t>
  </si>
  <si>
    <t xml:space="preserve">Goal Log — every scoring entry by match</t>
  </si>
  <si>
    <t xml:space="preserve">Player</t>
  </si>
  <si>
    <t xml:space="preserve">Goals in Match</t>
  </si>
  <si>
    <t xml:space="preserve">Own Goal (opp.)</t>
  </si>
  <si>
    <t xml:space="preserve">Top Scorers — 2025/26 Season</t>
  </si>
  <si>
    <t xml:space="preserve">Goals</t>
  </si>
  <si>
    <t xml:space="preserve">Own Goals (by opponents, for Vikings)</t>
  </si>
  <si>
    <t xml:space="preserve">Team Total Goals</t>
  </si>
  <si>
    <t xml:space="preserve">Awards — Man of the Match &amp; Goal of the Week</t>
  </si>
  <si>
    <t xml:space="preserve">MOTM Count</t>
  </si>
  <si>
    <t xml:space="preserve">GOTW Count</t>
  </si>
  <si>
    <t xml:space="preserve">Neston Nomads Vikings — Season Summary 2025/26</t>
  </si>
  <si>
    <t xml:space="preserve">Matches Played</t>
  </si>
  <si>
    <t xml:space="preserve">Wins</t>
  </si>
  <si>
    <t xml:space="preserve">Draws</t>
  </si>
  <si>
    <t xml:space="preserve">Losses</t>
  </si>
  <si>
    <t xml:space="preserve">Goals Scored</t>
  </si>
  <si>
    <t xml:space="preserve">Goals Conceded</t>
  </si>
  <si>
    <t xml:space="preserve">Goal Difference</t>
  </si>
  <si>
    <t xml:space="preserve">Win %</t>
  </si>
  <si>
    <t xml:space="preserve">Top Goalscorer</t>
  </si>
  <si>
    <t xml:space="preserve">Top Goalscorer's Goals</t>
  </si>
  <si>
    <t xml:space="preserve">Most MOTMs</t>
  </si>
  <si>
    <t xml:space="preserve">Most MOTM Awards</t>
  </si>
  <si>
    <t xml:space="preserve">Result</t>
  </si>
  <si>
    <t xml:space="preserve">Count</t>
  </si>
  <si>
    <t xml:space="preserve">Won</t>
  </si>
  <si>
    <t xml:space="preserve">Drawn</t>
  </si>
  <si>
    <t xml:space="preserve">Lost</t>
  </si>
  <si>
    <t xml:space="preserve">Milestones &amp; Records — 2025/26 Season</t>
  </si>
  <si>
    <t xml:space="preserve">🏆</t>
  </si>
  <si>
    <t xml:space="preserve">Biggest Win</t>
  </si>
  <si>
    <t xml:space="preserve">😥</t>
  </si>
  <si>
    <t xml:space="preserve">Toughest Result</t>
  </si>
  <si>
    <t xml:space="preserve">⚽</t>
  </si>
  <si>
    <t xml:space="preserve">Highest-Scoring Match</t>
  </si>
  <si>
    <t xml:space="preserve">🔥</t>
  </si>
  <si>
    <t xml:space="preserve">Longest Winning Streak</t>
  </si>
  <si>
    <t xml:space="preserve">🛡️</t>
  </si>
  <si>
    <t xml:space="preserve">Longest Unbeaten Run</t>
  </si>
  <si>
    <t xml:space="preserve">🎯</t>
  </si>
  <si>
    <t xml:space="preserve">Best Individual Haul</t>
  </si>
  <si>
    <t xml:space="preserve">🎩</t>
  </si>
  <si>
    <t xml:space="preserve">Hat-tricks (3+ goals in a match)</t>
  </si>
  <si>
    <t xml:space="preserve">⭐</t>
  </si>
  <si>
    <t xml:space="preserve">First Goal of the Season</t>
  </si>
  <si>
    <t xml:space="preserve">Cup Final Result</t>
  </si>
  <si>
    <t xml:space="preserve">Player Cards — 2025/26 Season</t>
  </si>
  <si>
    <t xml:space="preserve">Man of the Match</t>
  </si>
  <si>
    <t xml:space="preserve">Goal of the Week</t>
  </si>
  <si>
    <t xml:space="preserve">Best Single-Match Haul</t>
  </si>
  <si>
    <t xml:space="preserve">Matches Scored In</t>
  </si>
  <si>
    <t xml:space="preserve">Player Lookup — Find Every Match Your Child Featured In</t>
  </si>
  <si>
    <t xml:space="preserve">Select a player:</t>
  </si>
  <si>
    <t xml:space="preserve">Venue</t>
  </si>
  <si>
    <t xml:space="preserve">Score</t>
  </si>
  <si>
    <t xml:space="preserve">Goals by Player</t>
  </si>
  <si>
    <t xml:space="preserve">Award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</si>
</sst>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+0;\-0"/>
    <numFmt numFmtId="167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b val="true"/>
      <sz val="12"/>
      <color rgb="FFE8C766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4"/>
      <color rgb="FF1F1F1F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.5"/>
      <color rgb="FF1F1F1F"/>
      <name val="Arial"/>
      <family val="0"/>
      <charset val="1"/>
    </font>
    <font>
      <b val="true"/>
      <sz val="13"/>
      <color rgb="FFE8C766"/>
      <name val="Arial"/>
      <family val="0"/>
      <charset val="1"/>
    </font>
    <font>
      <b val="true"/>
      <sz val="13"/>
      <color rgb="FF1F1F1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.5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6"/>
      <name val="Cambria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6"/>
      <color rgb="FF1F1F1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6294A"/>
      </patternFill>
    </fill>
    <fill>
      <patternFill patternType="solid">
        <fgColor rgb="FF16294A"/>
        <bgColor rgb="FF1F3864"/>
      </patternFill>
    </fill>
    <fill>
      <patternFill patternType="solid">
        <fgColor rgb="FF3FA66B"/>
        <bgColor rgb="FF2E86AB"/>
      </patternFill>
    </fill>
    <fill>
      <patternFill patternType="solid">
        <fgColor rgb="FFE0A93E"/>
        <bgColor rgb="FFC9A227"/>
      </patternFill>
    </fill>
    <fill>
      <patternFill patternType="solid">
        <fgColor rgb="FFD1495B"/>
        <bgColor rgb="FF993366"/>
      </patternFill>
    </fill>
    <fill>
      <patternFill patternType="solid">
        <fgColor rgb="FFC9A227"/>
        <bgColor rgb="FFE0A93E"/>
      </patternFill>
    </fill>
    <fill>
      <patternFill patternType="solid">
        <fgColor rgb="FFDCE6F1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F3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B0B0B0"/>
      <rgbColor rgb="FF808080"/>
      <rgbColor rgb="FF9999FF"/>
      <rgbColor rgb="FFD1495B"/>
      <rgbColor rgb="FFFFF3C4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C9A227"/>
      <rgbColor rgb="FFE8C766"/>
      <rgbColor rgb="FFE0A93E"/>
      <rgbColor rgb="FFFF6600"/>
      <rgbColor rgb="FF4F81BD"/>
      <rgbColor rgb="FF878787"/>
      <rgbColor rgb="FF16294A"/>
      <rgbColor rgb="FF3FA66B"/>
      <rgbColor rgb="FF003300"/>
      <rgbColor rgb="FF1F1F1F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'Chart Data'!B1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fa66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0a93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d1495b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'Chart Data'!$A$2:$A$4</c:f>
              <c:strCache>
                <c:ptCount val="3"/>
                <c:pt idx="0">
                  <c:v>Won</c:v>
                </c:pt>
                <c:pt idx="1">
                  <c:v>Drawn</c:v>
                </c:pt>
                <c:pt idx="2">
                  <c:v>Lost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22</c:v>
                </c:pt>
                <c:pt idx="1">
                  <c:v>5</c:v>
                </c:pt>
                <c:pt idx="2">
                  <c:v>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Goalscorers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Scorers'!B3</c:f>
              <c:strCache>
                <c:ptCount val="1"/>
                <c:pt idx="0">
                  <c:v>Goals</c:v>
                </c:pt>
              </c:strCache>
            </c:strRef>
          </c:tx>
          <c:spPr>
            <a:solidFill>
              <a:srgbClr val="c9a22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Scorers'!$A$4:$A$13</c:f>
              <c:strCache>
                <c:ptCount val="10"/>
                <c:pt idx="0">
                  <c:v>Alex</c:v>
                </c:pt>
                <c:pt idx="1">
                  <c:v>Freddie</c:v>
                </c:pt>
                <c:pt idx="2">
                  <c:v>Harry</c:v>
                </c:pt>
                <c:pt idx="3">
                  <c:v>Noah</c:v>
                </c:pt>
                <c:pt idx="4">
                  <c:v>Olly</c:v>
                </c:pt>
                <c:pt idx="5">
                  <c:v>Max</c:v>
                </c:pt>
                <c:pt idx="6">
                  <c:v>Will</c:v>
                </c:pt>
                <c:pt idx="7">
                  <c:v>Sam</c:v>
                </c:pt>
                <c:pt idx="8">
                  <c:v>Fredrick</c:v>
                </c:pt>
                <c:pt idx="9">
                  <c:v>Edward</c:v>
                </c:pt>
              </c:strCache>
            </c:strRef>
          </c:cat>
          <c:val>
            <c:numRef>
              <c:f>'Top Scorers'!$B$4:$B$13</c:f>
              <c:numCache>
                <c:formatCode>General</c:formatCode>
                <c:ptCount val="10"/>
                <c:pt idx="0">
                  <c:v>32</c:v>
                </c:pt>
                <c:pt idx="1">
                  <c:v>28</c:v>
                </c:pt>
                <c:pt idx="2">
                  <c:v>21</c:v>
                </c:pt>
                <c:pt idx="3">
                  <c:v>20</c:v>
                </c:pt>
                <c:pt idx="4">
                  <c:v>15</c:v>
                </c:pt>
                <c:pt idx="5">
                  <c:v>8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</c:ser>
        <c:gapWidth val="150"/>
        <c:overlap val="0"/>
        <c:axId val="60346190"/>
        <c:axId val="4067523"/>
      </c:barChart>
      <c:catAx>
        <c:axId val="603461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7523"/>
        <c:crosses val="autoZero"/>
        <c:auto val="1"/>
        <c:lblAlgn val="ctr"/>
        <c:lblOffset val="100"/>
        <c:noMultiLvlLbl val="0"/>
      </c:catAx>
      <c:valAx>
        <c:axId val="40675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461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Man of the Match Leaderboard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Awards!B3</c:f>
              <c:strCache>
                <c:ptCount val="1"/>
                <c:pt idx="0">
                  <c:v>MOTM Count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Awards!$A$4:$A$14</c:f>
              <c:strCache>
                <c:ptCount val="11"/>
                <c:pt idx="0">
                  <c:v>Olly</c:v>
                </c:pt>
                <c:pt idx="1">
                  <c:v>Noah</c:v>
                </c:pt>
                <c:pt idx="2">
                  <c:v>Max</c:v>
                </c:pt>
                <c:pt idx="3">
                  <c:v>Fredrick</c:v>
                </c:pt>
                <c:pt idx="4">
                  <c:v>Alex</c:v>
                </c:pt>
                <c:pt idx="5">
                  <c:v>Freddie</c:v>
                </c:pt>
                <c:pt idx="6">
                  <c:v>Will</c:v>
                </c:pt>
                <c:pt idx="7">
                  <c:v>Sam</c:v>
                </c:pt>
                <c:pt idx="8">
                  <c:v>Harry</c:v>
                </c:pt>
                <c:pt idx="9">
                  <c:v>Edward</c:v>
                </c:pt>
                <c:pt idx="10">
                  <c:v>Team</c:v>
                </c:pt>
              </c:strCache>
            </c:strRef>
          </c:cat>
          <c:val>
            <c:numRef>
              <c:f>Awards!$B$4:$B$14</c:f>
              <c:numCache>
                <c:formatCode>General</c:formatCode>
                <c:ptCount val="11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</c:ser>
        <c:gapWidth val="150"/>
        <c:overlap val="0"/>
        <c:axId val="25116248"/>
        <c:axId val="44271714"/>
      </c:barChart>
      <c:catAx>
        <c:axId val="2511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71714"/>
        <c:crosses val="autoZero"/>
        <c:auto val="1"/>
        <c:lblAlgn val="ctr"/>
        <c:lblOffset val="100"/>
        <c:noMultiLvlLbl val="0"/>
      </c:catAx>
      <c:valAx>
        <c:axId val="442717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162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Season Momentum — Cumulative Goal Difference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Matches!N3</c:f>
              <c:strCache>
                <c:ptCount val="1"/>
                <c:pt idx="0">
                  <c:v>Cumulative GD</c:v>
                </c:pt>
              </c:strCache>
            </c:strRef>
          </c:tx>
          <c:spPr>
            <a:solidFill>
              <a:srgbClr val="2e86ab"/>
            </a:solidFill>
            <a:ln w="21960">
              <a:solidFill>
                <a:srgbClr val="2e86ab"/>
              </a:solidFill>
              <a:round/>
            </a:ln>
          </c:spPr>
          <c:marker>
            <c:symbol val="circle"/>
            <c:size val="4"/>
            <c:spPr>
              <a:solidFill>
                <a:srgbClr val="2e86a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Matches!$A$4:$A$38</c:f>
              <c:strCach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strCache>
            </c:strRef>
          </c:cat>
          <c:val>
            <c:numRef>
              <c:f>Matches!$N$4:$N$38</c:f>
              <c:numCache>
                <c:formatCode>General</c:formatCode>
                <c:ptCount val="35"/>
                <c:pt idx="0">
                  <c:v>4</c:v>
                </c:pt>
                <c:pt idx="1">
                  <c:v>7</c:v>
                </c:pt>
                <c:pt idx="2">
                  <c:v>11</c:v>
                </c:pt>
                <c:pt idx="3">
                  <c:v>17</c:v>
                </c:pt>
                <c:pt idx="4">
                  <c:v>20</c:v>
                </c:pt>
                <c:pt idx="5">
                  <c:v>20</c:v>
                </c:pt>
                <c:pt idx="6">
                  <c:v>21</c:v>
                </c:pt>
                <c:pt idx="7">
                  <c:v>17</c:v>
                </c:pt>
                <c:pt idx="8">
                  <c:v>18</c:v>
                </c:pt>
                <c:pt idx="9">
                  <c:v>15</c:v>
                </c:pt>
                <c:pt idx="10">
                  <c:v>12</c:v>
                </c:pt>
                <c:pt idx="11">
                  <c:v>15</c:v>
                </c:pt>
                <c:pt idx="12">
                  <c:v>14</c:v>
                </c:pt>
                <c:pt idx="13">
                  <c:v>11</c:v>
                </c:pt>
                <c:pt idx="14">
                  <c:v>11</c:v>
                </c:pt>
                <c:pt idx="15">
                  <c:v>15</c:v>
                </c:pt>
                <c:pt idx="16">
                  <c:v>22</c:v>
                </c:pt>
                <c:pt idx="17">
                  <c:v>24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28</c:v>
                </c:pt>
                <c:pt idx="22">
                  <c:v>31</c:v>
                </c:pt>
                <c:pt idx="23">
                  <c:v>29</c:v>
                </c:pt>
                <c:pt idx="24">
                  <c:v>35</c:v>
                </c:pt>
                <c:pt idx="25">
                  <c:v>39</c:v>
                </c:pt>
                <c:pt idx="26">
                  <c:v>42</c:v>
                </c:pt>
                <c:pt idx="27">
                  <c:v>39</c:v>
                </c:pt>
                <c:pt idx="28">
                  <c:v>39</c:v>
                </c:pt>
                <c:pt idx="29">
                  <c:v>43</c:v>
                </c:pt>
                <c:pt idx="30">
                  <c:v>41</c:v>
                </c:pt>
                <c:pt idx="31">
                  <c:v>48</c:v>
                </c:pt>
                <c:pt idx="32">
                  <c:v>48</c:v>
                </c:pt>
                <c:pt idx="33">
                  <c:v>55</c:v>
                </c:pt>
                <c:pt idx="34">
                  <c:v>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024787"/>
        <c:axId val="8568003"/>
      </c:lineChart>
      <c:catAx>
        <c:axId val="420247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8003"/>
        <c:crosses val="autoZero"/>
        <c:auto val="1"/>
        <c:lblAlgn val="ctr"/>
        <c:lblOffset val="100"/>
        <c:noMultiLvlLbl val="0"/>
      </c:catAx>
      <c:valAx>
        <c:axId val="85680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247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7</xdr:col>
      <xdr:colOff>216720</xdr:colOff>
      <xdr:row>33</xdr:row>
      <xdr:rowOff>1080</xdr:rowOff>
    </xdr:to>
    <xdr:graphicFrame>
      <xdr:nvGraphicFramePr>
        <xdr:cNvPr id="0" name="Chart 1"/>
        <xdr:cNvGraphicFramePr/>
      </xdr:nvGraphicFramePr>
      <xdr:xfrm>
        <a:off x="0" y="32670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0</xdr:rowOff>
    </xdr:from>
    <xdr:to>
      <xdr:col>14</xdr:col>
      <xdr:colOff>216720</xdr:colOff>
      <xdr:row>33</xdr:row>
      <xdr:rowOff>1080</xdr:rowOff>
    </xdr:to>
    <xdr:graphicFrame>
      <xdr:nvGraphicFramePr>
        <xdr:cNvPr id="1" name="Chart 2"/>
        <xdr:cNvGraphicFramePr/>
      </xdr:nvGraphicFramePr>
      <xdr:xfrm>
        <a:off x="5182920" y="32670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216720</xdr:colOff>
      <xdr:row>52</xdr:row>
      <xdr:rowOff>1080</xdr:rowOff>
    </xdr:to>
    <xdr:graphicFrame>
      <xdr:nvGraphicFramePr>
        <xdr:cNvPr id="2" name="Chart 3"/>
        <xdr:cNvGraphicFramePr/>
      </xdr:nvGraphicFramePr>
      <xdr:xfrm>
        <a:off x="0" y="6886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35</xdr:row>
      <xdr:rowOff>0</xdr:rowOff>
    </xdr:from>
    <xdr:to>
      <xdr:col>14</xdr:col>
      <xdr:colOff>216720</xdr:colOff>
      <xdr:row>52</xdr:row>
      <xdr:rowOff>1080</xdr:rowOff>
    </xdr:to>
    <xdr:graphicFrame>
      <xdr:nvGraphicFramePr>
        <xdr:cNvPr id="3" name="Chart 4"/>
        <xdr:cNvGraphicFramePr/>
      </xdr:nvGraphicFramePr>
      <xdr:xfrm>
        <a:off x="5182920" y="6886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0.5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5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15" hidden="false" customHeight="false" outlineLevel="0" collapsed="false">
      <c r="A5" s="3" t="n">
        <f aca="false">'Season Summary'!B3</f>
        <v>35</v>
      </c>
      <c r="B5" s="3"/>
      <c r="C5" s="3"/>
      <c r="D5" s="4" t="n">
        <f aca="false">'Season Summary'!B4</f>
        <v>22</v>
      </c>
      <c r="E5" s="4"/>
      <c r="F5" s="4"/>
      <c r="G5" s="5" t="n">
        <f aca="false">'Season Summary'!B5</f>
        <v>5</v>
      </c>
      <c r="H5" s="5"/>
      <c r="I5" s="5"/>
      <c r="J5" s="6" t="n">
        <f aca="false">'Season Summary'!B6</f>
        <v>8</v>
      </c>
      <c r="K5" s="6"/>
      <c r="L5" s="6"/>
    </row>
    <row r="6" customFormat="false" ht="15" hidden="false" customHeight="false" outlineLevel="0" collapsed="false">
      <c r="A6" s="3"/>
      <c r="B6" s="3"/>
      <c r="C6" s="3"/>
      <c r="D6" s="4"/>
      <c r="E6" s="4"/>
      <c r="F6" s="4"/>
      <c r="G6" s="5"/>
      <c r="H6" s="5"/>
      <c r="I6" s="5"/>
      <c r="J6" s="6"/>
      <c r="K6" s="6"/>
      <c r="L6" s="6"/>
    </row>
    <row r="7" customFormat="false" ht="15" hidden="false" customHeight="false" outlineLevel="0" collapsed="false">
      <c r="A7" s="3"/>
      <c r="B7" s="3"/>
      <c r="C7" s="3"/>
      <c r="D7" s="4"/>
      <c r="E7" s="4"/>
      <c r="F7" s="4"/>
      <c r="G7" s="5"/>
      <c r="H7" s="5"/>
      <c r="I7" s="5"/>
      <c r="J7" s="6"/>
      <c r="K7" s="6"/>
      <c r="L7" s="6"/>
    </row>
    <row r="8" customFormat="false" ht="15" hidden="false" customHeight="false" outlineLevel="0" collapsed="false">
      <c r="A8" s="7" t="s">
        <v>2</v>
      </c>
      <c r="B8" s="7"/>
      <c r="C8" s="7"/>
      <c r="D8" s="8" t="s">
        <v>3</v>
      </c>
      <c r="E8" s="8"/>
      <c r="F8" s="8"/>
      <c r="G8" s="9" t="s">
        <v>4</v>
      </c>
      <c r="H8" s="9"/>
      <c r="I8" s="9"/>
      <c r="J8" s="10" t="s">
        <v>5</v>
      </c>
      <c r="K8" s="10"/>
      <c r="L8" s="10"/>
    </row>
    <row r="9" customFormat="false" ht="7.5" hidden="false" customHeight="true" outlineLevel="0" collapsed="false"/>
    <row r="10" customFormat="false" ht="15" hidden="false" customHeight="false" outlineLevel="0" collapsed="false">
      <c r="A10" s="3" t="n">
        <f aca="false">'Season Summary'!B7</f>
        <v>142</v>
      </c>
      <c r="B10" s="3"/>
      <c r="C10" s="3"/>
      <c r="D10" s="3" t="n">
        <f aca="false">'Season Summary'!B8</f>
        <v>85</v>
      </c>
      <c r="E10" s="3"/>
      <c r="F10" s="3"/>
      <c r="G10" s="11" t="n">
        <f aca="false">'Season Summary'!B9</f>
        <v>57</v>
      </c>
      <c r="H10" s="11"/>
      <c r="I10" s="11"/>
      <c r="J10" s="12" t="n">
        <f aca="false">'Season Summary'!B10</f>
        <v>0.628571428571429</v>
      </c>
      <c r="K10" s="12"/>
      <c r="L10" s="12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11"/>
      <c r="H11" s="11"/>
      <c r="I11" s="11"/>
      <c r="J11" s="12"/>
      <c r="K11" s="12"/>
      <c r="L11" s="12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11"/>
      <c r="H12" s="11"/>
      <c r="I12" s="11"/>
      <c r="J12" s="12"/>
      <c r="K12" s="12"/>
      <c r="L12" s="12"/>
    </row>
    <row r="13" customFormat="false" ht="15" hidden="false" customHeight="false" outlineLevel="0" collapsed="false">
      <c r="A13" s="7" t="s">
        <v>6</v>
      </c>
      <c r="B13" s="7"/>
      <c r="C13" s="7"/>
      <c r="D13" s="7" t="s">
        <v>7</v>
      </c>
      <c r="E13" s="7"/>
      <c r="F13" s="7"/>
      <c r="G13" s="13" t="s">
        <v>8</v>
      </c>
      <c r="H13" s="13"/>
      <c r="I13" s="13"/>
      <c r="J13" s="13" t="s">
        <v>9</v>
      </c>
      <c r="K13" s="13"/>
      <c r="L13" s="13"/>
    </row>
    <row r="14" customFormat="false" ht="7.5" hidden="false" customHeight="true" outlineLevel="0" collapsed="false"/>
    <row r="15" customFormat="false" ht="19.5" hidden="false" customHeight="true" outlineLevel="0" collapsed="false">
      <c r="A15" s="14" t="s">
        <v>10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56" customFormat="false" ht="19.5" hidden="false" customHeight="true" outlineLevel="0" collapsed="false">
      <c r="A56" s="15" t="s">
        <v>11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customFormat="false" ht="15" hidden="false" customHeight="true" outlineLevel="0" collapsed="false">
      <c r="A57" s="16" t="s">
        <v>12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1" customFormat="false" ht="15" hidden="false" customHeight="false" outlineLevel="0" collapsed="false">
      <c r="A61" s="17" t="s">
        <v>13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</sheetData>
  <mergeCells count="22">
    <mergeCell ref="A1:N2"/>
    <mergeCell ref="A3:N3"/>
    <mergeCell ref="A5:C7"/>
    <mergeCell ref="D5:F7"/>
    <mergeCell ref="G5:I7"/>
    <mergeCell ref="J5:L7"/>
    <mergeCell ref="A8:C8"/>
    <mergeCell ref="D8:F8"/>
    <mergeCell ref="G8:I8"/>
    <mergeCell ref="J8:L8"/>
    <mergeCell ref="A10:C12"/>
    <mergeCell ref="D10:F12"/>
    <mergeCell ref="G10:I12"/>
    <mergeCell ref="J10:L12"/>
    <mergeCell ref="A13:C13"/>
    <mergeCell ref="D13:F13"/>
    <mergeCell ref="G13:I13"/>
    <mergeCell ref="J13:L13"/>
    <mergeCell ref="A15:N15"/>
    <mergeCell ref="A56:N56"/>
    <mergeCell ref="A57:N59"/>
    <mergeCell ref="A61:N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10" min="9" style="0" width="10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5" min="15" style="0" width="22"/>
    <col collapsed="false" customWidth="true" hidden="false" outlineLevel="0" max="19" min="16" style="0" width="11"/>
    <col collapsed="false" customWidth="true" hidden="false" outlineLevel="0" max="20" min="20" style="0" width="15"/>
  </cols>
  <sheetData>
    <row r="1" customFormat="false" ht="27.75" hidden="false" customHeight="true" outlineLevel="0" collapsed="false">
      <c r="A1" s="18" t="s">
        <v>14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customFormat="false" ht="15" hidden="false" customHeight="false" outlineLevel="0" collapsed="false">
      <c r="A3" s="19" t="s">
        <v>15</v>
      </c>
      <c r="B3" s="19" t="s">
        <v>16</v>
      </c>
      <c r="C3" s="19" t="s">
        <v>17</v>
      </c>
      <c r="D3" s="19" t="s">
        <v>18</v>
      </c>
      <c r="E3" s="19" t="s">
        <v>19</v>
      </c>
      <c r="F3" s="19" t="s">
        <v>20</v>
      </c>
      <c r="G3" s="19" t="s">
        <v>21</v>
      </c>
      <c r="H3" s="19" t="s">
        <v>22</v>
      </c>
      <c r="I3" s="19" t="s">
        <v>23</v>
      </c>
      <c r="J3" s="19" t="s">
        <v>24</v>
      </c>
      <c r="K3" s="19" t="s">
        <v>25</v>
      </c>
      <c r="L3" s="19" t="s">
        <v>26</v>
      </c>
      <c r="M3" s="19" t="s">
        <v>27</v>
      </c>
      <c r="N3" s="19" t="s">
        <v>28</v>
      </c>
      <c r="O3" s="19" t="s">
        <v>29</v>
      </c>
      <c r="P3" s="19" t="s">
        <v>30</v>
      </c>
      <c r="Q3" s="19" t="s">
        <v>31</v>
      </c>
      <c r="R3" s="19" t="s">
        <v>32</v>
      </c>
      <c r="S3" s="19" t="s">
        <v>33</v>
      </c>
      <c r="T3" s="19" t="s">
        <v>34</v>
      </c>
    </row>
    <row r="4" customFormat="false" ht="15" hidden="false" customHeight="false" outlineLevel="0" collapsed="false">
      <c r="A4" s="20" t="n">
        <v>1</v>
      </c>
      <c r="B4" s="20" t="s">
        <v>35</v>
      </c>
      <c r="C4" s="20" t="s">
        <v>36</v>
      </c>
      <c r="D4" s="21" t="s">
        <v>37</v>
      </c>
      <c r="E4" s="21" t="s">
        <v>38</v>
      </c>
      <c r="F4" s="20" t="n">
        <v>2</v>
      </c>
      <c r="G4" s="20" t="n">
        <v>6</v>
      </c>
      <c r="H4" s="20" t="str">
        <f aca="false">IF($D4="Neston Nomads Vikings",IF($F4&gt;$G4,"W",IF($F4=$G4,"D","L")),IF($G4&gt;$F4,"W",IF($G4=$F4,"D","L")))</f>
        <v>W</v>
      </c>
      <c r="I4" s="20" t="n">
        <f aca="false">IF($D4="Neston Nomads Vikings",$F4,$G4)</f>
        <v>6</v>
      </c>
      <c r="J4" s="20" t="n">
        <f aca="false">IF($D4="Neston Nomads Vikings",$G4,$F4)</f>
        <v>2</v>
      </c>
      <c r="K4" s="20" t="s">
        <v>39</v>
      </c>
      <c r="L4" s="20"/>
      <c r="M4" s="20" t="n">
        <f aca="false">I4-J4</f>
        <v>4</v>
      </c>
      <c r="N4" s="20" t="n">
        <f aca="false">SUM($M$4:M4)</f>
        <v>4</v>
      </c>
      <c r="O4" s="20" t="str">
        <f aca="false">IF($D4="Neston Nomads Vikings",$E4,$D4)</f>
        <v>Oldershaw Dynamos</v>
      </c>
      <c r="P4" s="20" t="n">
        <f aca="false">I4+J4</f>
        <v>8</v>
      </c>
      <c r="Q4" s="20" t="n">
        <f aca="false">IF(H4="W",M4,"")</f>
        <v>4</v>
      </c>
      <c r="R4" s="20" t="str">
        <f aca="false">IF(H4="L",-M4,"")</f>
        <v/>
      </c>
      <c r="S4" s="20" t="n">
        <f aca="false">IF(H4="W",1,0)</f>
        <v>1</v>
      </c>
      <c r="T4" s="20" t="n">
        <f aca="false">IF(OR(H4="W",H4="D"),1,0)</f>
        <v>1</v>
      </c>
    </row>
    <row r="5" customFormat="false" ht="15" hidden="false" customHeight="false" outlineLevel="0" collapsed="false">
      <c r="A5" s="22" t="n">
        <v>2</v>
      </c>
      <c r="B5" s="22" t="s">
        <v>35</v>
      </c>
      <c r="C5" s="22" t="s">
        <v>40</v>
      </c>
      <c r="D5" s="23" t="s">
        <v>37</v>
      </c>
      <c r="E5" s="23" t="s">
        <v>38</v>
      </c>
      <c r="F5" s="22" t="n">
        <v>1</v>
      </c>
      <c r="G5" s="22" t="n">
        <v>4</v>
      </c>
      <c r="H5" s="22" t="str">
        <f aca="false">IF($D5="Neston Nomads Vikings",IF($F5&gt;$G5,"W",IF($F5=$G5,"D","L")),IF($G5&gt;$F5,"W",IF($G5=$F5,"D","L")))</f>
        <v>W</v>
      </c>
      <c r="I5" s="22" t="n">
        <f aca="false">IF($D5="Neston Nomads Vikings",$F5,$G5)</f>
        <v>4</v>
      </c>
      <c r="J5" s="22" t="n">
        <f aca="false">IF($D5="Neston Nomads Vikings",$G5,$F5)</f>
        <v>1</v>
      </c>
      <c r="K5" s="22" t="s">
        <v>41</v>
      </c>
      <c r="L5" s="22"/>
      <c r="M5" s="22" t="n">
        <f aca="false">I5-J5</f>
        <v>3</v>
      </c>
      <c r="N5" s="22" t="n">
        <f aca="false">SUM($M$4:M5)</f>
        <v>7</v>
      </c>
      <c r="O5" s="22" t="str">
        <f aca="false">IF($D5="Neston Nomads Vikings",$E5,$D5)</f>
        <v>Oldershaw Dynamos</v>
      </c>
      <c r="P5" s="22" t="n">
        <f aca="false">I5+J5</f>
        <v>5</v>
      </c>
      <c r="Q5" s="22" t="n">
        <f aca="false">IF(H5="W",M5,"")</f>
        <v>3</v>
      </c>
      <c r="R5" s="22" t="str">
        <f aca="false">IF(H5="L",-M5,"")</f>
        <v/>
      </c>
      <c r="S5" s="22" t="n">
        <f aca="false">IF(H5="W",S4+1,0)</f>
        <v>2</v>
      </c>
      <c r="T5" s="22" t="n">
        <f aca="false">IF(OR(H5="W",H5="D"),T4+1,0)</f>
        <v>2</v>
      </c>
    </row>
    <row r="6" customFormat="false" ht="15" hidden="false" customHeight="false" outlineLevel="0" collapsed="false">
      <c r="A6" s="20" t="n">
        <v>3</v>
      </c>
      <c r="B6" s="20" t="s">
        <v>35</v>
      </c>
      <c r="C6" s="20" t="s">
        <v>40</v>
      </c>
      <c r="D6" s="21" t="s">
        <v>42</v>
      </c>
      <c r="E6" s="21" t="s">
        <v>38</v>
      </c>
      <c r="F6" s="20" t="n">
        <v>2</v>
      </c>
      <c r="G6" s="20" t="n">
        <v>6</v>
      </c>
      <c r="H6" s="20" t="str">
        <f aca="false">IF($D6="Neston Nomads Vikings",IF($F6&gt;$G6,"W",IF($F6=$G6,"D","L")),IF($G6&gt;$F6,"W",IF($G6=$F6,"D","L")))</f>
        <v>W</v>
      </c>
      <c r="I6" s="20" t="n">
        <f aca="false">IF($D6="Neston Nomads Vikings",$F6,$G6)</f>
        <v>6</v>
      </c>
      <c r="J6" s="20" t="n">
        <f aca="false">IF($D6="Neston Nomads Vikings",$G6,$F6)</f>
        <v>2</v>
      </c>
      <c r="K6" s="20" t="s">
        <v>43</v>
      </c>
      <c r="L6" s="20"/>
      <c r="M6" s="20" t="n">
        <f aca="false">I6-J6</f>
        <v>4</v>
      </c>
      <c r="N6" s="20" t="n">
        <f aca="false">SUM($M$4:M6)</f>
        <v>11</v>
      </c>
      <c r="O6" s="20" t="str">
        <f aca="false">IF($D6="Neston Nomads Vikings",$E6,$D6)</f>
        <v>Wallasey Village</v>
      </c>
      <c r="P6" s="20" t="n">
        <f aca="false">I6+J6</f>
        <v>8</v>
      </c>
      <c r="Q6" s="20" t="n">
        <f aca="false">IF(H6="W",M6,"")</f>
        <v>4</v>
      </c>
      <c r="R6" s="20" t="str">
        <f aca="false">IF(H6="L",-M6,"")</f>
        <v/>
      </c>
      <c r="S6" s="20" t="n">
        <f aca="false">IF(H6="W",S5+1,0)</f>
        <v>3</v>
      </c>
      <c r="T6" s="20" t="n">
        <f aca="false">IF(OR(H6="W",H6="D"),T5+1,0)</f>
        <v>3</v>
      </c>
    </row>
    <row r="7" customFormat="false" ht="15" hidden="false" customHeight="false" outlineLevel="0" collapsed="false">
      <c r="A7" s="22" t="n">
        <v>4</v>
      </c>
      <c r="B7" s="22" t="s">
        <v>35</v>
      </c>
      <c r="C7" s="22" t="s">
        <v>40</v>
      </c>
      <c r="D7" s="23" t="s">
        <v>44</v>
      </c>
      <c r="E7" s="23" t="s">
        <v>38</v>
      </c>
      <c r="F7" s="22" t="n">
        <v>0</v>
      </c>
      <c r="G7" s="22" t="n">
        <v>6</v>
      </c>
      <c r="H7" s="22" t="str">
        <f aca="false">IF($D7="Neston Nomads Vikings",IF($F7&gt;$G7,"W",IF($F7=$G7,"D","L")),IF($G7&gt;$F7,"W",IF($G7=$F7,"D","L")))</f>
        <v>W</v>
      </c>
      <c r="I7" s="22" t="n">
        <f aca="false">IF($D7="Neston Nomads Vikings",$F7,$G7)</f>
        <v>6</v>
      </c>
      <c r="J7" s="22" t="n">
        <f aca="false">IF($D7="Neston Nomads Vikings",$G7,$F7)</f>
        <v>0</v>
      </c>
      <c r="K7" s="22" t="s">
        <v>45</v>
      </c>
      <c r="L7" s="22"/>
      <c r="M7" s="22" t="n">
        <f aca="false">I7-J7</f>
        <v>6</v>
      </c>
      <c r="N7" s="22" t="n">
        <f aca="false">SUM($M$4:M7)</f>
        <v>17</v>
      </c>
      <c r="O7" s="22" t="str">
        <f aca="false">IF($D7="Neston Nomads Vikings",$E7,$D7)</f>
        <v>Oldershaw Dragoons</v>
      </c>
      <c r="P7" s="22" t="n">
        <f aca="false">I7+J7</f>
        <v>6</v>
      </c>
      <c r="Q7" s="22" t="n">
        <f aca="false">IF(H7="W",M7,"")</f>
        <v>6</v>
      </c>
      <c r="R7" s="22" t="str">
        <f aca="false">IF(H7="L",-M7,"")</f>
        <v/>
      </c>
      <c r="S7" s="22" t="n">
        <f aca="false">IF(H7="W",S6+1,0)</f>
        <v>4</v>
      </c>
      <c r="T7" s="22" t="n">
        <f aca="false">IF(OR(H7="W",H7="D"),T6+1,0)</f>
        <v>4</v>
      </c>
    </row>
    <row r="8" customFormat="false" ht="15" hidden="false" customHeight="false" outlineLevel="0" collapsed="false">
      <c r="A8" s="20" t="n">
        <v>5</v>
      </c>
      <c r="B8" s="20" t="s">
        <v>35</v>
      </c>
      <c r="C8" s="20" t="s">
        <v>40</v>
      </c>
      <c r="D8" s="21" t="s">
        <v>38</v>
      </c>
      <c r="E8" s="21" t="s">
        <v>46</v>
      </c>
      <c r="F8" s="20" t="n">
        <v>5</v>
      </c>
      <c r="G8" s="20" t="n">
        <v>2</v>
      </c>
      <c r="H8" s="20" t="str">
        <f aca="false">IF($D8="Neston Nomads Vikings",IF($F8&gt;$G8,"W",IF($F8=$G8,"D","L")),IF($G8&gt;$F8,"W",IF($G8=$F8,"D","L")))</f>
        <v>W</v>
      </c>
      <c r="I8" s="20" t="n">
        <f aca="false">IF($D8="Neston Nomads Vikings",$F8,$G8)</f>
        <v>5</v>
      </c>
      <c r="J8" s="20" t="n">
        <f aca="false">IF($D8="Neston Nomads Vikings",$G8,$F8)</f>
        <v>2</v>
      </c>
      <c r="K8" s="20" t="s">
        <v>41</v>
      </c>
      <c r="L8" s="20"/>
      <c r="M8" s="20" t="n">
        <f aca="false">I8-J8</f>
        <v>3</v>
      </c>
      <c r="N8" s="20" t="n">
        <f aca="false">SUM($M$4:M8)</f>
        <v>20</v>
      </c>
      <c r="O8" s="20" t="str">
        <f aca="false">IF($D8="Neston Nomads Vikings",$E8,$D8)</f>
        <v>Groves FX</v>
      </c>
      <c r="P8" s="20" t="n">
        <f aca="false">I8+J8</f>
        <v>7</v>
      </c>
      <c r="Q8" s="20" t="n">
        <f aca="false">IF(H8="W",M8,"")</f>
        <v>3</v>
      </c>
      <c r="R8" s="20" t="str">
        <f aca="false">IF(H8="L",-M8,"")</f>
        <v/>
      </c>
      <c r="S8" s="20" t="n">
        <f aca="false">IF(H8="W",S7+1,0)</f>
        <v>5</v>
      </c>
      <c r="T8" s="20" t="n">
        <f aca="false">IF(OR(H8="W",H8="D"),T7+1,0)</f>
        <v>5</v>
      </c>
    </row>
    <row r="9" customFormat="false" ht="15" hidden="false" customHeight="false" outlineLevel="0" collapsed="false">
      <c r="A9" s="22" t="n">
        <v>6</v>
      </c>
      <c r="B9" s="22" t="s">
        <v>47</v>
      </c>
      <c r="C9" s="22" t="s">
        <v>40</v>
      </c>
      <c r="D9" s="23" t="s">
        <v>48</v>
      </c>
      <c r="E9" s="23" t="s">
        <v>38</v>
      </c>
      <c r="F9" s="22" t="n">
        <v>6</v>
      </c>
      <c r="G9" s="22" t="n">
        <v>6</v>
      </c>
      <c r="H9" s="22" t="str">
        <f aca="false">IF($D9="Neston Nomads Vikings",IF($F9&gt;$G9,"W",IF($F9=$G9,"D","L")),IF($G9&gt;$F9,"W",IF($G9=$F9,"D","L")))</f>
        <v>D</v>
      </c>
      <c r="I9" s="22" t="n">
        <f aca="false">IF($D9="Neston Nomads Vikings",$F9,$G9)</f>
        <v>6</v>
      </c>
      <c r="J9" s="22" t="n">
        <f aca="false">IF($D9="Neston Nomads Vikings",$G9,$F9)</f>
        <v>6</v>
      </c>
      <c r="K9" s="22" t="s">
        <v>49</v>
      </c>
      <c r="L9" s="22"/>
      <c r="M9" s="22" t="n">
        <f aca="false">I9-J9</f>
        <v>0</v>
      </c>
      <c r="N9" s="22" t="n">
        <f aca="false">SUM($M$4:M9)</f>
        <v>20</v>
      </c>
      <c r="O9" s="22" t="str">
        <f aca="false">IF($D9="Neston Nomads Vikings",$E9,$D9)</f>
        <v>Moreton Peru</v>
      </c>
      <c r="P9" s="22" t="n">
        <f aca="false">I9+J9</f>
        <v>12</v>
      </c>
      <c r="Q9" s="22" t="str">
        <f aca="false">IF(H9="W",M9,"")</f>
        <v/>
      </c>
      <c r="R9" s="22" t="str">
        <f aca="false">IF(H9="L",-M9,"")</f>
        <v/>
      </c>
      <c r="S9" s="22" t="n">
        <f aca="false">IF(H9="W",S8+1,0)</f>
        <v>0</v>
      </c>
      <c r="T9" s="22" t="n">
        <f aca="false">IF(OR(H9="W",H9="D"),T8+1,0)</f>
        <v>6</v>
      </c>
    </row>
    <row r="10" customFormat="false" ht="15" hidden="false" customHeight="false" outlineLevel="0" collapsed="false">
      <c r="A10" s="20" t="n">
        <v>7</v>
      </c>
      <c r="B10" s="20" t="s">
        <v>47</v>
      </c>
      <c r="C10" s="20" t="s">
        <v>40</v>
      </c>
      <c r="D10" s="21" t="s">
        <v>38</v>
      </c>
      <c r="E10" s="21" t="s">
        <v>50</v>
      </c>
      <c r="F10" s="20" t="n">
        <v>5</v>
      </c>
      <c r="G10" s="20" t="n">
        <v>4</v>
      </c>
      <c r="H10" s="20" t="str">
        <f aca="false">IF($D10="Neston Nomads Vikings",IF($F10&gt;$G10,"W",IF($F10=$G10,"D","L")),IF($G10&gt;$F10,"W",IF($G10=$F10,"D","L")))</f>
        <v>W</v>
      </c>
      <c r="I10" s="20" t="n">
        <f aca="false">IF($D10="Neston Nomads Vikings",$F10,$G10)</f>
        <v>5</v>
      </c>
      <c r="J10" s="20" t="n">
        <f aca="false">IF($D10="Neston Nomads Vikings",$G10,$F10)</f>
        <v>4</v>
      </c>
      <c r="K10" s="20" t="s">
        <v>43</v>
      </c>
      <c r="L10" s="20"/>
      <c r="M10" s="20" t="n">
        <f aca="false">I10-J10</f>
        <v>1</v>
      </c>
      <c r="N10" s="20" t="n">
        <f aca="false">SUM($M$4:M10)</f>
        <v>21</v>
      </c>
      <c r="O10" s="20" t="str">
        <f aca="false">IF($D10="Neston Nomads Vikings",$E10,$D10)</f>
        <v>West Kirby</v>
      </c>
      <c r="P10" s="20" t="n">
        <f aca="false">I10+J10</f>
        <v>9</v>
      </c>
      <c r="Q10" s="20" t="n">
        <f aca="false">IF(H10="W",M10,"")</f>
        <v>1</v>
      </c>
      <c r="R10" s="20" t="str">
        <f aca="false">IF(H10="L",-M10,"")</f>
        <v/>
      </c>
      <c r="S10" s="20" t="n">
        <f aca="false">IF(H10="W",S9+1,0)</f>
        <v>1</v>
      </c>
      <c r="T10" s="20" t="n">
        <f aca="false">IF(OR(H10="W",H10="D"),T9+1,0)</f>
        <v>7</v>
      </c>
    </row>
    <row r="11" customFormat="false" ht="15" hidden="false" customHeight="false" outlineLevel="0" collapsed="false">
      <c r="A11" s="22" t="n">
        <v>8</v>
      </c>
      <c r="B11" s="22" t="s">
        <v>47</v>
      </c>
      <c r="C11" s="22" t="s">
        <v>40</v>
      </c>
      <c r="D11" s="23" t="s">
        <v>51</v>
      </c>
      <c r="E11" s="23" t="s">
        <v>38</v>
      </c>
      <c r="F11" s="22" t="n">
        <v>5</v>
      </c>
      <c r="G11" s="22" t="n">
        <v>1</v>
      </c>
      <c r="H11" s="22" t="str">
        <f aca="false">IF($D11="Neston Nomads Vikings",IF($F11&gt;$G11,"W",IF($F11=$G11,"D","L")),IF($G11&gt;$F11,"W",IF($G11=$F11,"D","L")))</f>
        <v>L</v>
      </c>
      <c r="I11" s="22" t="n">
        <f aca="false">IF($D11="Neston Nomads Vikings",$F11,$G11)</f>
        <v>1</v>
      </c>
      <c r="J11" s="22" t="n">
        <f aca="false">IF($D11="Neston Nomads Vikings",$G11,$F11)</f>
        <v>5</v>
      </c>
      <c r="K11" s="22" t="s">
        <v>52</v>
      </c>
      <c r="L11" s="22"/>
      <c r="M11" s="22" t="n">
        <f aca="false">I11-J11</f>
        <v>-4</v>
      </c>
      <c r="N11" s="22" t="n">
        <f aca="false">SUM($M$4:M11)</f>
        <v>17</v>
      </c>
      <c r="O11" s="22" t="str">
        <f aca="false">IF($D11="Neston Nomads Vikings",$E11,$D11)</f>
        <v>Victoria Colts</v>
      </c>
      <c r="P11" s="22" t="n">
        <f aca="false">I11+J11</f>
        <v>6</v>
      </c>
      <c r="Q11" s="22" t="str">
        <f aca="false">IF(H11="W",M11,"")</f>
        <v/>
      </c>
      <c r="R11" s="22" t="n">
        <f aca="false">IF(H11="L",-M11,"")</f>
        <v>4</v>
      </c>
      <c r="S11" s="22" t="n">
        <f aca="false">IF(H11="W",S10+1,0)</f>
        <v>0</v>
      </c>
      <c r="T11" s="22" t="n">
        <f aca="false">IF(OR(H11="W",H11="D"),T10+1,0)</f>
        <v>0</v>
      </c>
    </row>
    <row r="12" customFormat="false" ht="15" hidden="false" customHeight="false" outlineLevel="0" collapsed="false">
      <c r="A12" s="20" t="n">
        <v>9</v>
      </c>
      <c r="B12" s="20" t="s">
        <v>47</v>
      </c>
      <c r="C12" s="20" t="s">
        <v>40</v>
      </c>
      <c r="D12" s="21" t="s">
        <v>38</v>
      </c>
      <c r="E12" s="21" t="s">
        <v>53</v>
      </c>
      <c r="F12" s="20" t="n">
        <v>3</v>
      </c>
      <c r="G12" s="20" t="n">
        <v>2</v>
      </c>
      <c r="H12" s="20" t="str">
        <f aca="false">IF($D12="Neston Nomads Vikings",IF($F12&gt;$G12,"W",IF($F12=$G12,"D","L")),IF($G12&gt;$F12,"W",IF($G12=$F12,"D","L")))</f>
        <v>W</v>
      </c>
      <c r="I12" s="20" t="n">
        <f aca="false">IF($D12="Neston Nomads Vikings",$F12,$G12)</f>
        <v>3</v>
      </c>
      <c r="J12" s="20" t="n">
        <f aca="false">IF($D12="Neston Nomads Vikings",$G12,$F12)</f>
        <v>2</v>
      </c>
      <c r="K12" s="20" t="s">
        <v>54</v>
      </c>
      <c r="L12" s="20"/>
      <c r="M12" s="20" t="n">
        <f aca="false">I12-J12</f>
        <v>1</v>
      </c>
      <c r="N12" s="20" t="n">
        <f aca="false">SUM($M$4:M12)</f>
        <v>18</v>
      </c>
      <c r="O12" s="20" t="str">
        <f aca="false">IF($D12="Neston Nomads Vikings",$E12,$D12)</f>
        <v>Higher Bebington Celtics</v>
      </c>
      <c r="P12" s="20" t="n">
        <f aca="false">I12+J12</f>
        <v>5</v>
      </c>
      <c r="Q12" s="20" t="n">
        <f aca="false">IF(H12="W",M12,"")</f>
        <v>1</v>
      </c>
      <c r="R12" s="20" t="str">
        <f aca="false">IF(H12="L",-M12,"")</f>
        <v/>
      </c>
      <c r="S12" s="20" t="n">
        <f aca="false">IF(H12="W",S11+1,0)</f>
        <v>1</v>
      </c>
      <c r="T12" s="20" t="n">
        <f aca="false">IF(OR(H12="W",H12="D"),T11+1,0)</f>
        <v>1</v>
      </c>
    </row>
    <row r="13" customFormat="false" ht="15" hidden="false" customHeight="false" outlineLevel="0" collapsed="false">
      <c r="A13" s="22" t="n">
        <v>10</v>
      </c>
      <c r="B13" s="22" t="s">
        <v>47</v>
      </c>
      <c r="C13" s="22" t="s">
        <v>40</v>
      </c>
      <c r="D13" s="23" t="s">
        <v>55</v>
      </c>
      <c r="E13" s="23" t="s">
        <v>38</v>
      </c>
      <c r="F13" s="22" t="n">
        <v>4</v>
      </c>
      <c r="G13" s="22" t="n">
        <v>1</v>
      </c>
      <c r="H13" s="22" t="str">
        <f aca="false">IF($D13="Neston Nomads Vikings",IF($F13&gt;$G13,"W",IF($F13=$G13,"D","L")),IF($G13&gt;$F13,"W",IF($G13=$F13,"D","L")))</f>
        <v>L</v>
      </c>
      <c r="I13" s="22" t="n">
        <f aca="false">IF($D13="Neston Nomads Vikings",$F13,$G13)</f>
        <v>1</v>
      </c>
      <c r="J13" s="22" t="n">
        <f aca="false">IF($D13="Neston Nomads Vikings",$G13,$F13)</f>
        <v>4</v>
      </c>
      <c r="K13" s="22" t="s">
        <v>43</v>
      </c>
      <c r="L13" s="22"/>
      <c r="M13" s="22" t="n">
        <f aca="false">I13-J13</f>
        <v>-3</v>
      </c>
      <c r="N13" s="22" t="n">
        <f aca="false">SUM($M$4:M13)</f>
        <v>15</v>
      </c>
      <c r="O13" s="22" t="str">
        <f aca="false">IF($D13="Neston Nomads Vikings",$E13,$D13)</f>
        <v>Ellesmere Port</v>
      </c>
      <c r="P13" s="22" t="n">
        <f aca="false">I13+J13</f>
        <v>5</v>
      </c>
      <c r="Q13" s="22" t="str">
        <f aca="false">IF(H13="W",M13,"")</f>
        <v/>
      </c>
      <c r="R13" s="22" t="n">
        <f aca="false">IF(H13="L",-M13,"")</f>
        <v>3</v>
      </c>
      <c r="S13" s="22" t="n">
        <f aca="false">IF(H13="W",S12+1,0)</f>
        <v>0</v>
      </c>
      <c r="T13" s="22" t="n">
        <f aca="false">IF(OR(H13="W",H13="D"),T12+1,0)</f>
        <v>0</v>
      </c>
    </row>
    <row r="14" customFormat="false" ht="15" hidden="false" customHeight="false" outlineLevel="0" collapsed="false">
      <c r="A14" s="20" t="n">
        <v>11</v>
      </c>
      <c r="B14" s="20" t="s">
        <v>47</v>
      </c>
      <c r="C14" s="20" t="s">
        <v>40</v>
      </c>
      <c r="D14" s="21" t="s">
        <v>38</v>
      </c>
      <c r="E14" s="21" t="s">
        <v>50</v>
      </c>
      <c r="F14" s="20" t="n">
        <v>4</v>
      </c>
      <c r="G14" s="20" t="n">
        <v>7</v>
      </c>
      <c r="H14" s="20" t="str">
        <f aca="false">IF($D14="Neston Nomads Vikings",IF($F14&gt;$G14,"W",IF($F14=$G14,"D","L")),IF($G14&gt;$F14,"W",IF($G14=$F14,"D","L")))</f>
        <v>L</v>
      </c>
      <c r="I14" s="20" t="n">
        <f aca="false">IF($D14="Neston Nomads Vikings",$F14,$G14)</f>
        <v>4</v>
      </c>
      <c r="J14" s="20" t="n">
        <f aca="false">IF($D14="Neston Nomads Vikings",$G14,$F14)</f>
        <v>7</v>
      </c>
      <c r="K14" s="20" t="s">
        <v>56</v>
      </c>
      <c r="L14" s="20"/>
      <c r="M14" s="20" t="n">
        <f aca="false">I14-J14</f>
        <v>-3</v>
      </c>
      <c r="N14" s="20" t="n">
        <f aca="false">SUM($M$4:M14)</f>
        <v>12</v>
      </c>
      <c r="O14" s="20" t="str">
        <f aca="false">IF($D14="Neston Nomads Vikings",$E14,$D14)</f>
        <v>West Kirby</v>
      </c>
      <c r="P14" s="20" t="n">
        <f aca="false">I14+J14</f>
        <v>11</v>
      </c>
      <c r="Q14" s="20" t="str">
        <f aca="false">IF(H14="W",M14,"")</f>
        <v/>
      </c>
      <c r="R14" s="20" t="n">
        <f aca="false">IF(H14="L",-M14,"")</f>
        <v>3</v>
      </c>
      <c r="S14" s="20" t="n">
        <f aca="false">IF(H14="W",S13+1,0)</f>
        <v>0</v>
      </c>
      <c r="T14" s="20" t="n">
        <f aca="false">IF(OR(H14="W",H14="D"),T13+1,0)</f>
        <v>0</v>
      </c>
    </row>
    <row r="15" customFormat="false" ht="15" hidden="false" customHeight="false" outlineLevel="0" collapsed="false">
      <c r="A15" s="22" t="n">
        <v>12</v>
      </c>
      <c r="B15" s="22" t="s">
        <v>47</v>
      </c>
      <c r="C15" s="22" t="s">
        <v>40</v>
      </c>
      <c r="D15" s="23" t="s">
        <v>38</v>
      </c>
      <c r="E15" s="23" t="s">
        <v>50</v>
      </c>
      <c r="F15" s="22" t="n">
        <v>4</v>
      </c>
      <c r="G15" s="22" t="n">
        <v>1</v>
      </c>
      <c r="H15" s="22" t="str">
        <f aca="false">IF($D15="Neston Nomads Vikings",IF($F15&gt;$G15,"W",IF($F15=$G15,"D","L")),IF($G15&gt;$F15,"W",IF($G15=$F15,"D","L")))</f>
        <v>W</v>
      </c>
      <c r="I15" s="22" t="n">
        <f aca="false">IF($D15="Neston Nomads Vikings",$F15,$G15)</f>
        <v>4</v>
      </c>
      <c r="J15" s="22" t="n">
        <f aca="false">IF($D15="Neston Nomads Vikings",$G15,$F15)</f>
        <v>1</v>
      </c>
      <c r="K15" s="22" t="s">
        <v>57</v>
      </c>
      <c r="L15" s="22"/>
      <c r="M15" s="22" t="n">
        <f aca="false">I15-J15</f>
        <v>3</v>
      </c>
      <c r="N15" s="22" t="n">
        <f aca="false">SUM($M$4:M15)</f>
        <v>15</v>
      </c>
      <c r="O15" s="22" t="str">
        <f aca="false">IF($D15="Neston Nomads Vikings",$E15,$D15)</f>
        <v>West Kirby</v>
      </c>
      <c r="P15" s="22" t="n">
        <f aca="false">I15+J15</f>
        <v>5</v>
      </c>
      <c r="Q15" s="22" t="n">
        <f aca="false">IF(H15="W",M15,"")</f>
        <v>3</v>
      </c>
      <c r="R15" s="22" t="str">
        <f aca="false">IF(H15="L",-M15,"")</f>
        <v/>
      </c>
      <c r="S15" s="22" t="n">
        <f aca="false">IF(H15="W",S14+1,0)</f>
        <v>1</v>
      </c>
      <c r="T15" s="22" t="n">
        <f aca="false">IF(OR(H15="W",H15="D"),T14+1,0)</f>
        <v>1</v>
      </c>
    </row>
    <row r="16" customFormat="false" ht="15" hidden="false" customHeight="false" outlineLevel="0" collapsed="false">
      <c r="A16" s="20" t="n">
        <v>13</v>
      </c>
      <c r="B16" s="20" t="s">
        <v>47</v>
      </c>
      <c r="C16" s="20" t="s">
        <v>40</v>
      </c>
      <c r="D16" s="21" t="s">
        <v>51</v>
      </c>
      <c r="E16" s="21" t="s">
        <v>38</v>
      </c>
      <c r="F16" s="20" t="n">
        <v>3</v>
      </c>
      <c r="G16" s="20" t="n">
        <v>2</v>
      </c>
      <c r="H16" s="20" t="str">
        <f aca="false">IF($D16="Neston Nomads Vikings",IF($F16&gt;$G16,"W",IF($F16=$G16,"D","L")),IF($G16&gt;$F16,"W",IF($G16=$F16,"D","L")))</f>
        <v>L</v>
      </c>
      <c r="I16" s="20" t="n">
        <f aca="false">IF($D16="Neston Nomads Vikings",$F16,$G16)</f>
        <v>2</v>
      </c>
      <c r="J16" s="20" t="n">
        <f aca="false">IF($D16="Neston Nomads Vikings",$G16,$F16)</f>
        <v>3</v>
      </c>
      <c r="K16" s="20" t="s">
        <v>54</v>
      </c>
      <c r="L16" s="20" t="s">
        <v>56</v>
      </c>
      <c r="M16" s="20" t="n">
        <f aca="false">I16-J16</f>
        <v>-1</v>
      </c>
      <c r="N16" s="20" t="n">
        <f aca="false">SUM($M$4:M16)</f>
        <v>14</v>
      </c>
      <c r="O16" s="20" t="str">
        <f aca="false">IF($D16="Neston Nomads Vikings",$E16,$D16)</f>
        <v>Victoria Colts</v>
      </c>
      <c r="P16" s="20" t="n">
        <f aca="false">I16+J16</f>
        <v>5</v>
      </c>
      <c r="Q16" s="20" t="str">
        <f aca="false">IF(H16="W",M16,"")</f>
        <v/>
      </c>
      <c r="R16" s="20" t="n">
        <f aca="false">IF(H16="L",-M16,"")</f>
        <v>1</v>
      </c>
      <c r="S16" s="20" t="n">
        <f aca="false">IF(H16="W",S15+1,0)</f>
        <v>0</v>
      </c>
      <c r="T16" s="20" t="n">
        <f aca="false">IF(OR(H16="W",H16="D"),T15+1,0)</f>
        <v>0</v>
      </c>
    </row>
    <row r="17" customFormat="false" ht="15" hidden="false" customHeight="false" outlineLevel="0" collapsed="false">
      <c r="A17" s="22" t="n">
        <v>14</v>
      </c>
      <c r="B17" s="22" t="s">
        <v>47</v>
      </c>
      <c r="C17" s="22" t="s">
        <v>40</v>
      </c>
      <c r="D17" s="23" t="s">
        <v>38</v>
      </c>
      <c r="E17" s="23" t="s">
        <v>53</v>
      </c>
      <c r="F17" s="22" t="n">
        <v>0</v>
      </c>
      <c r="G17" s="22" t="n">
        <v>3</v>
      </c>
      <c r="H17" s="22" t="str">
        <f aca="false">IF($D17="Neston Nomads Vikings",IF($F17&gt;$G17,"W",IF($F17=$G17,"D","L")),IF($G17&gt;$F17,"W",IF($G17=$F17,"D","L")))</f>
        <v>L</v>
      </c>
      <c r="I17" s="22" t="n">
        <f aca="false">IF($D17="Neston Nomads Vikings",$F17,$G17)</f>
        <v>0</v>
      </c>
      <c r="J17" s="22" t="n">
        <f aca="false">IF($D17="Neston Nomads Vikings",$G17,$F17)</f>
        <v>3</v>
      </c>
      <c r="K17" s="22" t="s">
        <v>41</v>
      </c>
      <c r="L17" s="22" t="s">
        <v>43</v>
      </c>
      <c r="M17" s="22" t="n">
        <f aca="false">I17-J17</f>
        <v>-3</v>
      </c>
      <c r="N17" s="22" t="n">
        <f aca="false">SUM($M$4:M17)</f>
        <v>11</v>
      </c>
      <c r="O17" s="22" t="str">
        <f aca="false">IF($D17="Neston Nomads Vikings",$E17,$D17)</f>
        <v>Higher Bebington Celtics</v>
      </c>
      <c r="P17" s="22" t="n">
        <f aca="false">I17+J17</f>
        <v>3</v>
      </c>
      <c r="Q17" s="22" t="str">
        <f aca="false">IF(H17="W",M17,"")</f>
        <v/>
      </c>
      <c r="R17" s="22" t="n">
        <f aca="false">IF(H17="L",-M17,"")</f>
        <v>3</v>
      </c>
      <c r="S17" s="22" t="n">
        <f aca="false">IF(H17="W",S16+1,0)</f>
        <v>0</v>
      </c>
      <c r="T17" s="22" t="n">
        <f aca="false">IF(OR(H17="W",H17="D"),T16+1,0)</f>
        <v>0</v>
      </c>
    </row>
    <row r="18" customFormat="false" ht="15" hidden="false" customHeight="false" outlineLevel="0" collapsed="false">
      <c r="A18" s="20" t="n">
        <v>15</v>
      </c>
      <c r="B18" s="20" t="s">
        <v>47</v>
      </c>
      <c r="C18" s="20" t="s">
        <v>40</v>
      </c>
      <c r="D18" s="21" t="s">
        <v>38</v>
      </c>
      <c r="E18" s="21" t="s">
        <v>58</v>
      </c>
      <c r="F18" s="20" t="n">
        <v>3</v>
      </c>
      <c r="G18" s="20" t="n">
        <v>3</v>
      </c>
      <c r="H18" s="20" t="str">
        <f aca="false">IF($D18="Neston Nomads Vikings",IF($F18&gt;$G18,"W",IF($F18=$G18,"D","L")),IF($G18&gt;$F18,"W",IF($G18=$F18,"D","L")))</f>
        <v>D</v>
      </c>
      <c r="I18" s="20" t="n">
        <f aca="false">IF($D18="Neston Nomads Vikings",$F18,$G18)</f>
        <v>3</v>
      </c>
      <c r="J18" s="20" t="n">
        <f aca="false">IF($D18="Neston Nomads Vikings",$G18,$F18)</f>
        <v>3</v>
      </c>
      <c r="K18" s="20" t="s">
        <v>57</v>
      </c>
      <c r="L18" s="20" t="s">
        <v>39</v>
      </c>
      <c r="M18" s="20" t="n">
        <f aca="false">I18-J18</f>
        <v>0</v>
      </c>
      <c r="N18" s="20" t="n">
        <f aca="false">SUM($M$4:M18)</f>
        <v>11</v>
      </c>
      <c r="O18" s="20" t="str">
        <f aca="false">IF($D18="Neston Nomads Vikings",$E18,$D18)</f>
        <v>Neston Nomads Raiders</v>
      </c>
      <c r="P18" s="20" t="n">
        <f aca="false">I18+J18</f>
        <v>6</v>
      </c>
      <c r="Q18" s="20" t="str">
        <f aca="false">IF(H18="W",M18,"")</f>
        <v/>
      </c>
      <c r="R18" s="20" t="str">
        <f aca="false">IF(H18="L",-M18,"")</f>
        <v/>
      </c>
      <c r="S18" s="20" t="n">
        <f aca="false">IF(H18="W",S17+1,0)</f>
        <v>0</v>
      </c>
      <c r="T18" s="20" t="n">
        <f aca="false">IF(OR(H18="W",H18="D"),T17+1,0)</f>
        <v>1</v>
      </c>
    </row>
    <row r="19" customFormat="false" ht="15" hidden="false" customHeight="false" outlineLevel="0" collapsed="false">
      <c r="A19" s="22" t="n">
        <v>16</v>
      </c>
      <c r="B19" s="22" t="s">
        <v>47</v>
      </c>
      <c r="C19" s="22" t="s">
        <v>40</v>
      </c>
      <c r="D19" s="23" t="s">
        <v>38</v>
      </c>
      <c r="E19" s="23" t="s">
        <v>55</v>
      </c>
      <c r="F19" s="22" t="n">
        <v>7</v>
      </c>
      <c r="G19" s="22" t="n">
        <v>3</v>
      </c>
      <c r="H19" s="22" t="str">
        <f aca="false">IF($D19="Neston Nomads Vikings",IF($F19&gt;$G19,"W",IF($F19=$G19,"D","L")),IF($G19&gt;$F19,"W",IF($G19=$F19,"D","L")))</f>
        <v>W</v>
      </c>
      <c r="I19" s="22" t="n">
        <f aca="false">IF($D19="Neston Nomads Vikings",$F19,$G19)</f>
        <v>7</v>
      </c>
      <c r="J19" s="22" t="n">
        <f aca="false">IF($D19="Neston Nomads Vikings",$G19,$F19)</f>
        <v>3</v>
      </c>
      <c r="K19" s="22" t="s">
        <v>52</v>
      </c>
      <c r="L19" s="22" t="s">
        <v>59</v>
      </c>
      <c r="M19" s="22" t="n">
        <f aca="false">I19-J19</f>
        <v>4</v>
      </c>
      <c r="N19" s="22" t="n">
        <f aca="false">SUM($M$4:M19)</f>
        <v>15</v>
      </c>
      <c r="O19" s="22" t="str">
        <f aca="false">IF($D19="Neston Nomads Vikings",$E19,$D19)</f>
        <v>Ellesmere Port</v>
      </c>
      <c r="P19" s="22" t="n">
        <f aca="false">I19+J19</f>
        <v>10</v>
      </c>
      <c r="Q19" s="22" t="n">
        <f aca="false">IF(H19="W",M19,"")</f>
        <v>4</v>
      </c>
      <c r="R19" s="22" t="str">
        <f aca="false">IF(H19="L",-M19,"")</f>
        <v/>
      </c>
      <c r="S19" s="22" t="n">
        <f aca="false">IF(H19="W",S18+1,0)</f>
        <v>1</v>
      </c>
      <c r="T19" s="22" t="n">
        <f aca="false">IF(OR(H19="W",H19="D"),T18+1,0)</f>
        <v>2</v>
      </c>
    </row>
    <row r="20" customFormat="false" ht="15" hidden="false" customHeight="false" outlineLevel="0" collapsed="false">
      <c r="A20" s="20" t="n">
        <v>17</v>
      </c>
      <c r="B20" s="20" t="s">
        <v>47</v>
      </c>
      <c r="C20" s="20" t="s">
        <v>40</v>
      </c>
      <c r="D20" s="21" t="s">
        <v>60</v>
      </c>
      <c r="E20" s="21" t="s">
        <v>38</v>
      </c>
      <c r="F20" s="20" t="n">
        <v>0</v>
      </c>
      <c r="G20" s="20" t="n">
        <v>7</v>
      </c>
      <c r="H20" s="20" t="str">
        <f aca="false">IF($D20="Neston Nomads Vikings",IF($F20&gt;$G20,"W",IF($F20=$G20,"D","L")),IF($G20&gt;$F20,"W",IF($G20=$F20,"D","L")))</f>
        <v>W</v>
      </c>
      <c r="I20" s="20" t="n">
        <f aca="false">IF($D20="Neston Nomads Vikings",$F20,$G20)</f>
        <v>7</v>
      </c>
      <c r="J20" s="20" t="n">
        <f aca="false">IF($D20="Neston Nomads Vikings",$G20,$F20)</f>
        <v>0</v>
      </c>
      <c r="K20" s="20" t="s">
        <v>54</v>
      </c>
      <c r="L20" s="20" t="s">
        <v>61</v>
      </c>
      <c r="M20" s="20" t="n">
        <f aca="false">I20-J20</f>
        <v>7</v>
      </c>
      <c r="N20" s="20" t="n">
        <f aca="false">SUM($M$4:M20)</f>
        <v>22</v>
      </c>
      <c r="O20" s="20" t="str">
        <f aca="false">IF($D20="Neston Nomads Vikings",$E20,$D20)</f>
        <v>Heswall</v>
      </c>
      <c r="P20" s="20" t="n">
        <f aca="false">I20+J20</f>
        <v>7</v>
      </c>
      <c r="Q20" s="20" t="n">
        <f aca="false">IF(H20="W",M20,"")</f>
        <v>7</v>
      </c>
      <c r="R20" s="20" t="str">
        <f aca="false">IF(H20="L",-M20,"")</f>
        <v/>
      </c>
      <c r="S20" s="20" t="n">
        <f aca="false">IF(H20="W",S19+1,0)</f>
        <v>2</v>
      </c>
      <c r="T20" s="20" t="n">
        <f aca="false">IF(OR(H20="W",H20="D"),T19+1,0)</f>
        <v>3</v>
      </c>
    </row>
    <row r="21" customFormat="false" ht="15" hidden="false" customHeight="false" outlineLevel="0" collapsed="false">
      <c r="A21" s="22" t="n">
        <v>18</v>
      </c>
      <c r="B21" s="22" t="s">
        <v>47</v>
      </c>
      <c r="C21" s="22" t="s">
        <v>40</v>
      </c>
      <c r="D21" s="23" t="s">
        <v>38</v>
      </c>
      <c r="E21" s="23" t="s">
        <v>62</v>
      </c>
      <c r="F21" s="22" t="n">
        <v>5</v>
      </c>
      <c r="G21" s="22" t="n">
        <v>3</v>
      </c>
      <c r="H21" s="22" t="str">
        <f aca="false">IF($D21="Neston Nomads Vikings",IF($F21&gt;$G21,"W",IF($F21=$G21,"D","L")),IF($G21&gt;$F21,"W",IF($G21=$F21,"D","L")))</f>
        <v>W</v>
      </c>
      <c r="I21" s="22" t="n">
        <f aca="false">IF($D21="Neston Nomads Vikings",$F21,$G21)</f>
        <v>5</v>
      </c>
      <c r="J21" s="22" t="n">
        <f aca="false">IF($D21="Neston Nomads Vikings",$G21,$F21)</f>
        <v>3</v>
      </c>
      <c r="K21" s="22" t="s">
        <v>59</v>
      </c>
      <c r="L21" s="22" t="s">
        <v>52</v>
      </c>
      <c r="M21" s="22" t="n">
        <f aca="false">I21-J21</f>
        <v>2</v>
      </c>
      <c r="N21" s="22" t="n">
        <f aca="false">SUM($M$4:M21)</f>
        <v>24</v>
      </c>
      <c r="O21" s="22" t="str">
        <f aca="false">IF($D21="Neston Nomads Vikings",$E21,$D21)</f>
        <v>Upton</v>
      </c>
      <c r="P21" s="22" t="n">
        <f aca="false">I21+J21</f>
        <v>8</v>
      </c>
      <c r="Q21" s="22" t="n">
        <f aca="false">IF(H21="W",M21,"")</f>
        <v>2</v>
      </c>
      <c r="R21" s="22" t="str">
        <f aca="false">IF(H21="L",-M21,"")</f>
        <v/>
      </c>
      <c r="S21" s="22" t="n">
        <f aca="false">IF(H21="W",S20+1,0)</f>
        <v>3</v>
      </c>
      <c r="T21" s="22" t="n">
        <f aca="false">IF(OR(H21="W",H21="D"),T20+1,0)</f>
        <v>4</v>
      </c>
    </row>
    <row r="22" customFormat="false" ht="15" hidden="false" customHeight="false" outlineLevel="0" collapsed="false">
      <c r="A22" s="20" t="n">
        <v>19</v>
      </c>
      <c r="B22" s="20" t="s">
        <v>47</v>
      </c>
      <c r="C22" s="20" t="s">
        <v>40</v>
      </c>
      <c r="D22" s="21" t="s">
        <v>63</v>
      </c>
      <c r="E22" s="21" t="s">
        <v>38</v>
      </c>
      <c r="F22" s="20" t="n">
        <v>3</v>
      </c>
      <c r="G22" s="20" t="n">
        <v>3</v>
      </c>
      <c r="H22" s="20" t="str">
        <f aca="false">IF($D22="Neston Nomads Vikings",IF($F22&gt;$G22,"W",IF($F22=$G22,"D","L")),IF($G22&gt;$F22,"W",IF($G22=$F22,"D","L")))</f>
        <v>D</v>
      </c>
      <c r="I22" s="20" t="n">
        <f aca="false">IF($D22="Neston Nomads Vikings",$F22,$G22)</f>
        <v>3</v>
      </c>
      <c r="J22" s="20" t="n">
        <f aca="false">IF($D22="Neston Nomads Vikings",$G22,$F22)</f>
        <v>3</v>
      </c>
      <c r="K22" s="20" t="s">
        <v>61</v>
      </c>
      <c r="L22" s="20" t="s">
        <v>54</v>
      </c>
      <c r="M22" s="20" t="n">
        <f aca="false">I22-J22</f>
        <v>0</v>
      </c>
      <c r="N22" s="20" t="n">
        <f aca="false">SUM($M$4:M22)</f>
        <v>24</v>
      </c>
      <c r="O22" s="20" t="str">
        <f aca="false">IF($D22="Neston Nomads Vikings",$E22,$D22)</f>
        <v>Neston Nomads Knights</v>
      </c>
      <c r="P22" s="20" t="n">
        <f aca="false">I22+J22</f>
        <v>6</v>
      </c>
      <c r="Q22" s="20" t="str">
        <f aca="false">IF(H22="W",M22,"")</f>
        <v/>
      </c>
      <c r="R22" s="20" t="str">
        <f aca="false">IF(H22="L",-M22,"")</f>
        <v/>
      </c>
      <c r="S22" s="20" t="n">
        <f aca="false">IF(H22="W",S21+1,0)</f>
        <v>0</v>
      </c>
      <c r="T22" s="20" t="n">
        <f aca="false">IF(OR(H22="W",H22="D"),T21+1,0)</f>
        <v>5</v>
      </c>
    </row>
    <row r="23" customFormat="false" ht="15" hidden="false" customHeight="false" outlineLevel="0" collapsed="false">
      <c r="A23" s="22" t="n">
        <v>20</v>
      </c>
      <c r="B23" s="22" t="s">
        <v>47</v>
      </c>
      <c r="C23" s="22" t="s">
        <v>40</v>
      </c>
      <c r="D23" s="23" t="s">
        <v>38</v>
      </c>
      <c r="E23" s="23" t="s">
        <v>64</v>
      </c>
      <c r="F23" s="22" t="n">
        <v>4</v>
      </c>
      <c r="G23" s="22" t="n">
        <v>3</v>
      </c>
      <c r="H23" s="22" t="str">
        <f aca="false">IF($D23="Neston Nomads Vikings",IF($F23&gt;$G23,"W",IF($F23=$G23,"D","L")),IF($G23&gt;$F23,"W",IF($G23=$F23,"D","L")))</f>
        <v>W</v>
      </c>
      <c r="I23" s="22" t="n">
        <f aca="false">IF($D23="Neston Nomads Vikings",$F23,$G23)</f>
        <v>4</v>
      </c>
      <c r="J23" s="22" t="n">
        <f aca="false">IF($D23="Neston Nomads Vikings",$G23,$F23)</f>
        <v>3</v>
      </c>
      <c r="K23" s="22" t="s">
        <v>56</v>
      </c>
      <c r="L23" s="22" t="s">
        <v>57</v>
      </c>
      <c r="M23" s="22" t="n">
        <f aca="false">I23-J23</f>
        <v>1</v>
      </c>
      <c r="N23" s="22" t="n">
        <f aca="false">SUM($M$4:M23)</f>
        <v>25</v>
      </c>
      <c r="O23" s="22" t="str">
        <f aca="false">IF($D23="Neston Nomads Vikings",$E23,$D23)</f>
        <v>Wallasey</v>
      </c>
      <c r="P23" s="22" t="n">
        <f aca="false">I23+J23</f>
        <v>7</v>
      </c>
      <c r="Q23" s="22" t="n">
        <f aca="false">IF(H23="W",M23,"")</f>
        <v>1</v>
      </c>
      <c r="R23" s="22" t="str">
        <f aca="false">IF(H23="L",-M23,"")</f>
        <v/>
      </c>
      <c r="S23" s="22" t="n">
        <f aca="false">IF(H23="W",S22+1,0)</f>
        <v>1</v>
      </c>
      <c r="T23" s="22" t="n">
        <f aca="false">IF(OR(H23="W",H23="D"),T22+1,0)</f>
        <v>6</v>
      </c>
    </row>
    <row r="24" customFormat="false" ht="15" hidden="false" customHeight="false" outlineLevel="0" collapsed="false">
      <c r="A24" s="20" t="n">
        <v>21</v>
      </c>
      <c r="B24" s="20" t="s">
        <v>47</v>
      </c>
      <c r="C24" s="20" t="s">
        <v>40</v>
      </c>
      <c r="D24" s="21" t="s">
        <v>65</v>
      </c>
      <c r="E24" s="21" t="s">
        <v>38</v>
      </c>
      <c r="F24" s="20" t="n">
        <v>4</v>
      </c>
      <c r="G24" s="20" t="n">
        <v>5</v>
      </c>
      <c r="H24" s="20" t="str">
        <f aca="false">IF($D24="Neston Nomads Vikings",IF($F24&gt;$G24,"W",IF($F24=$G24,"D","L")),IF($G24&gt;$F24,"W",IF($G24=$F24,"D","L")))</f>
        <v>W</v>
      </c>
      <c r="I24" s="20" t="n">
        <f aca="false">IF($D24="Neston Nomads Vikings",$F24,$G24)</f>
        <v>5</v>
      </c>
      <c r="J24" s="20" t="n">
        <f aca="false">IF($D24="Neston Nomads Vikings",$G24,$F24)</f>
        <v>4</v>
      </c>
      <c r="K24" s="20" t="s">
        <v>41</v>
      </c>
      <c r="L24" s="20" t="s">
        <v>57</v>
      </c>
      <c r="M24" s="20" t="n">
        <f aca="false">I24-J24</f>
        <v>1</v>
      </c>
      <c r="N24" s="20" t="n">
        <f aca="false">SUM($M$4:M24)</f>
        <v>26</v>
      </c>
      <c r="O24" s="20" t="str">
        <f aca="false">IF($D24="Neston Nomads Vikings",$E24,$D24)</f>
        <v>Cammell Lairds</v>
      </c>
      <c r="P24" s="20" t="n">
        <f aca="false">I24+J24</f>
        <v>9</v>
      </c>
      <c r="Q24" s="20" t="n">
        <f aca="false">IF(H24="W",M24,"")</f>
        <v>1</v>
      </c>
      <c r="R24" s="20" t="str">
        <f aca="false">IF(H24="L",-M24,"")</f>
        <v/>
      </c>
      <c r="S24" s="20" t="n">
        <f aca="false">IF(H24="W",S23+1,0)</f>
        <v>2</v>
      </c>
      <c r="T24" s="20" t="n">
        <f aca="false">IF(OR(H24="W",H24="D"),T23+1,0)</f>
        <v>7</v>
      </c>
    </row>
    <row r="25" customFormat="false" ht="15" hidden="false" customHeight="false" outlineLevel="0" collapsed="false">
      <c r="A25" s="22" t="n">
        <v>22</v>
      </c>
      <c r="B25" s="22" t="s">
        <v>47</v>
      </c>
      <c r="C25" s="22" t="s">
        <v>40</v>
      </c>
      <c r="D25" s="23" t="s">
        <v>38</v>
      </c>
      <c r="E25" s="23" t="s">
        <v>48</v>
      </c>
      <c r="F25" s="22" t="n">
        <v>4</v>
      </c>
      <c r="G25" s="22" t="n">
        <v>2</v>
      </c>
      <c r="H25" s="22" t="str">
        <f aca="false">IF($D25="Neston Nomads Vikings",IF($F25&gt;$G25,"W",IF($F25=$G25,"D","L")),IF($G25&gt;$F25,"W",IF($G25=$F25,"D","L")))</f>
        <v>W</v>
      </c>
      <c r="I25" s="22" t="n">
        <f aca="false">IF($D25="Neston Nomads Vikings",$F25,$G25)</f>
        <v>4</v>
      </c>
      <c r="J25" s="22" t="n">
        <f aca="false">IF($D25="Neston Nomads Vikings",$G25,$F25)</f>
        <v>2</v>
      </c>
      <c r="K25" s="22" t="s">
        <v>56</v>
      </c>
      <c r="L25" s="22" t="s">
        <v>59</v>
      </c>
      <c r="M25" s="22" t="n">
        <f aca="false">I25-J25</f>
        <v>2</v>
      </c>
      <c r="N25" s="22" t="n">
        <f aca="false">SUM($M$4:M25)</f>
        <v>28</v>
      </c>
      <c r="O25" s="22" t="str">
        <f aca="false">IF($D25="Neston Nomads Vikings",$E25,$D25)</f>
        <v>Moreton Peru</v>
      </c>
      <c r="P25" s="22" t="n">
        <f aca="false">I25+J25</f>
        <v>6</v>
      </c>
      <c r="Q25" s="22" t="n">
        <f aca="false">IF(H25="W",M25,"")</f>
        <v>2</v>
      </c>
      <c r="R25" s="22" t="str">
        <f aca="false">IF(H25="L",-M25,"")</f>
        <v/>
      </c>
      <c r="S25" s="22" t="n">
        <f aca="false">IF(H25="W",S24+1,0)</f>
        <v>3</v>
      </c>
      <c r="T25" s="22" t="n">
        <f aca="false">IF(OR(H25="W",H25="D"),T24+1,0)</f>
        <v>8</v>
      </c>
    </row>
    <row r="26" customFormat="false" ht="15" hidden="false" customHeight="false" outlineLevel="0" collapsed="false">
      <c r="A26" s="20" t="n">
        <v>23</v>
      </c>
      <c r="B26" s="20" t="s">
        <v>47</v>
      </c>
      <c r="C26" s="20" t="s">
        <v>40</v>
      </c>
      <c r="D26" s="21" t="s">
        <v>38</v>
      </c>
      <c r="E26" s="21" t="s">
        <v>51</v>
      </c>
      <c r="F26" s="20" t="n">
        <v>4</v>
      </c>
      <c r="G26" s="20" t="n">
        <v>1</v>
      </c>
      <c r="H26" s="20" t="str">
        <f aca="false">IF($D26="Neston Nomads Vikings",IF($F26&gt;$G26,"W",IF($F26=$G26,"D","L")),IF($G26&gt;$F26,"W",IF($G26=$F26,"D","L")))</f>
        <v>W</v>
      </c>
      <c r="I26" s="20" t="n">
        <f aca="false">IF($D26="Neston Nomads Vikings",$F26,$G26)</f>
        <v>4</v>
      </c>
      <c r="J26" s="20" t="n">
        <f aca="false">IF($D26="Neston Nomads Vikings",$G26,$F26)</f>
        <v>1</v>
      </c>
      <c r="K26" s="20" t="s">
        <v>54</v>
      </c>
      <c r="L26" s="20" t="s">
        <v>41</v>
      </c>
      <c r="M26" s="20" t="n">
        <f aca="false">I26-J26</f>
        <v>3</v>
      </c>
      <c r="N26" s="20" t="n">
        <f aca="false">SUM($M$4:M26)</f>
        <v>31</v>
      </c>
      <c r="O26" s="20" t="str">
        <f aca="false">IF($D26="Neston Nomads Vikings",$E26,$D26)</f>
        <v>Victoria Colts</v>
      </c>
      <c r="P26" s="20" t="n">
        <f aca="false">I26+J26</f>
        <v>5</v>
      </c>
      <c r="Q26" s="20" t="n">
        <f aca="false">IF(H26="W",M26,"")</f>
        <v>3</v>
      </c>
      <c r="R26" s="20" t="str">
        <f aca="false">IF(H26="L",-M26,"")</f>
        <v/>
      </c>
      <c r="S26" s="20" t="n">
        <f aca="false">IF(H26="W",S25+1,0)</f>
        <v>4</v>
      </c>
      <c r="T26" s="20" t="n">
        <f aca="false">IF(OR(H26="W",H26="D"),T25+1,0)</f>
        <v>9</v>
      </c>
    </row>
    <row r="27" customFormat="false" ht="15" hidden="false" customHeight="false" outlineLevel="0" collapsed="false">
      <c r="A27" s="22" t="n">
        <v>24</v>
      </c>
      <c r="B27" s="22" t="s">
        <v>47</v>
      </c>
      <c r="C27" s="22" t="s">
        <v>40</v>
      </c>
      <c r="D27" s="23" t="s">
        <v>66</v>
      </c>
      <c r="E27" s="23" t="s">
        <v>38</v>
      </c>
      <c r="F27" s="22" t="n">
        <v>2</v>
      </c>
      <c r="G27" s="22" t="n">
        <v>0</v>
      </c>
      <c r="H27" s="22" t="str">
        <f aca="false">IF($D27="Neston Nomads Vikings",IF($F27&gt;$G27,"W",IF($F27=$G27,"D","L")),IF($G27&gt;$F27,"W",IF($G27=$F27,"D","L")))</f>
        <v>L</v>
      </c>
      <c r="I27" s="22" t="n">
        <f aca="false">IF($D27="Neston Nomads Vikings",$F27,$G27)</f>
        <v>0</v>
      </c>
      <c r="J27" s="22" t="n">
        <f aca="false">IF($D27="Neston Nomads Vikings",$G27,$F27)</f>
        <v>2</v>
      </c>
      <c r="K27" s="22" t="s">
        <v>54</v>
      </c>
      <c r="L27" s="22" t="s">
        <v>59</v>
      </c>
      <c r="M27" s="22" t="n">
        <f aca="false">I27-J27</f>
        <v>-2</v>
      </c>
      <c r="N27" s="22" t="n">
        <f aca="false">SUM($M$4:M27)</f>
        <v>29</v>
      </c>
      <c r="O27" s="22" t="str">
        <f aca="false">IF($D27="Neston Nomads Vikings",$E27,$D27)</f>
        <v>Bebington</v>
      </c>
      <c r="P27" s="22" t="n">
        <f aca="false">I27+J27</f>
        <v>2</v>
      </c>
      <c r="Q27" s="22" t="str">
        <f aca="false">IF(H27="W",M27,"")</f>
        <v/>
      </c>
      <c r="R27" s="22" t="n">
        <f aca="false">IF(H27="L",-M27,"")</f>
        <v>2</v>
      </c>
      <c r="S27" s="22" t="n">
        <f aca="false">IF(H27="W",S26+1,0)</f>
        <v>0</v>
      </c>
      <c r="T27" s="22" t="n">
        <f aca="false">IF(OR(H27="W",H27="D"),T26+1,0)</f>
        <v>0</v>
      </c>
    </row>
    <row r="28" customFormat="false" ht="15" hidden="false" customHeight="false" outlineLevel="0" collapsed="false">
      <c r="A28" s="20" t="n">
        <v>25</v>
      </c>
      <c r="B28" s="20" t="s">
        <v>47</v>
      </c>
      <c r="C28" s="20" t="s">
        <v>40</v>
      </c>
      <c r="D28" s="21" t="s">
        <v>38</v>
      </c>
      <c r="E28" s="21" t="s">
        <v>58</v>
      </c>
      <c r="F28" s="20" t="n">
        <v>7</v>
      </c>
      <c r="G28" s="20" t="n">
        <v>1</v>
      </c>
      <c r="H28" s="20" t="str">
        <f aca="false">IF($D28="Neston Nomads Vikings",IF($F28&gt;$G28,"W",IF($F28=$G28,"D","L")),IF($G28&gt;$F28,"W",IF($G28=$F28,"D","L")))</f>
        <v>W</v>
      </c>
      <c r="I28" s="20" t="n">
        <f aca="false">IF($D28="Neston Nomads Vikings",$F28,$G28)</f>
        <v>7</v>
      </c>
      <c r="J28" s="20" t="n">
        <f aca="false">IF($D28="Neston Nomads Vikings",$G28,$F28)</f>
        <v>1</v>
      </c>
      <c r="K28" s="20" t="s">
        <v>57</v>
      </c>
      <c r="L28" s="20" t="s">
        <v>61</v>
      </c>
      <c r="M28" s="20" t="n">
        <f aca="false">I28-J28</f>
        <v>6</v>
      </c>
      <c r="N28" s="20" t="n">
        <f aca="false">SUM($M$4:M28)</f>
        <v>35</v>
      </c>
      <c r="O28" s="20" t="str">
        <f aca="false">IF($D28="Neston Nomads Vikings",$E28,$D28)</f>
        <v>Neston Nomads Raiders</v>
      </c>
      <c r="P28" s="20" t="n">
        <f aca="false">I28+J28</f>
        <v>8</v>
      </c>
      <c r="Q28" s="20" t="n">
        <f aca="false">IF(H28="W",M28,"")</f>
        <v>6</v>
      </c>
      <c r="R28" s="20" t="str">
        <f aca="false">IF(H28="L",-M28,"")</f>
        <v/>
      </c>
      <c r="S28" s="20" t="n">
        <f aca="false">IF(H28="W",S27+1,0)</f>
        <v>1</v>
      </c>
      <c r="T28" s="20" t="n">
        <f aca="false">IF(OR(H28="W",H28="D"),T27+1,0)</f>
        <v>1</v>
      </c>
    </row>
    <row r="29" customFormat="false" ht="15" hidden="false" customHeight="false" outlineLevel="0" collapsed="false">
      <c r="A29" s="22" t="n">
        <v>26</v>
      </c>
      <c r="B29" s="22" t="s">
        <v>47</v>
      </c>
      <c r="C29" s="22" t="s">
        <v>40</v>
      </c>
      <c r="D29" s="23" t="s">
        <v>38</v>
      </c>
      <c r="E29" s="23" t="s">
        <v>58</v>
      </c>
      <c r="F29" s="22" t="n">
        <v>5</v>
      </c>
      <c r="G29" s="22" t="n">
        <v>1</v>
      </c>
      <c r="H29" s="22" t="str">
        <f aca="false">IF($D29="Neston Nomads Vikings",IF($F29&gt;$G29,"W",IF($F29=$G29,"D","L")),IF($G29&gt;$F29,"W",IF($G29=$F29,"D","L")))</f>
        <v>W</v>
      </c>
      <c r="I29" s="22" t="n">
        <f aca="false">IF($D29="Neston Nomads Vikings",$F29,$G29)</f>
        <v>5</v>
      </c>
      <c r="J29" s="22" t="n">
        <f aca="false">IF($D29="Neston Nomads Vikings",$G29,$F29)</f>
        <v>1</v>
      </c>
      <c r="K29" s="22" t="s">
        <v>59</v>
      </c>
      <c r="L29" s="22" t="s">
        <v>52</v>
      </c>
      <c r="M29" s="22" t="n">
        <f aca="false">I29-J29</f>
        <v>4</v>
      </c>
      <c r="N29" s="22" t="n">
        <f aca="false">SUM($M$4:M29)</f>
        <v>39</v>
      </c>
      <c r="O29" s="22" t="str">
        <f aca="false">IF($D29="Neston Nomads Vikings",$E29,$D29)</f>
        <v>Neston Nomads Raiders</v>
      </c>
      <c r="P29" s="22" t="n">
        <f aca="false">I29+J29</f>
        <v>6</v>
      </c>
      <c r="Q29" s="22" t="n">
        <f aca="false">IF(H29="W",M29,"")</f>
        <v>4</v>
      </c>
      <c r="R29" s="22" t="str">
        <f aca="false">IF(H29="L",-M29,"")</f>
        <v/>
      </c>
      <c r="S29" s="22" t="n">
        <f aca="false">IF(H29="W",S28+1,0)</f>
        <v>2</v>
      </c>
      <c r="T29" s="22" t="n">
        <f aca="false">IF(OR(H29="W",H29="D"),T28+1,0)</f>
        <v>2</v>
      </c>
    </row>
    <row r="30" customFormat="false" ht="15" hidden="false" customHeight="false" outlineLevel="0" collapsed="false">
      <c r="A30" s="20" t="n">
        <v>27</v>
      </c>
      <c r="B30" s="20" t="s">
        <v>67</v>
      </c>
      <c r="C30" s="20" t="s">
        <v>40</v>
      </c>
      <c r="D30" s="21" t="s">
        <v>38</v>
      </c>
      <c r="E30" s="21" t="s">
        <v>60</v>
      </c>
      <c r="F30" s="20" t="n">
        <v>4</v>
      </c>
      <c r="G30" s="20" t="n">
        <v>1</v>
      </c>
      <c r="H30" s="20" t="str">
        <f aca="false">IF($D30="Neston Nomads Vikings",IF($F30&gt;$G30,"W",IF($F30=$G30,"D","L")),IF($G30&gt;$F30,"W",IF($G30=$F30,"D","L")))</f>
        <v>W</v>
      </c>
      <c r="I30" s="20" t="n">
        <f aca="false">IF($D30="Neston Nomads Vikings",$F30,$G30)</f>
        <v>4</v>
      </c>
      <c r="J30" s="20" t="n">
        <f aca="false">IF($D30="Neston Nomads Vikings",$G30,$F30)</f>
        <v>1</v>
      </c>
      <c r="K30" s="20" t="s">
        <v>49</v>
      </c>
      <c r="L30" s="20" t="s">
        <v>56</v>
      </c>
      <c r="M30" s="20" t="n">
        <f aca="false">I30-J30</f>
        <v>3</v>
      </c>
      <c r="N30" s="20" t="n">
        <f aca="false">SUM($M$4:M30)</f>
        <v>42</v>
      </c>
      <c r="O30" s="20" t="str">
        <f aca="false">IF($D30="Neston Nomads Vikings",$E30,$D30)</f>
        <v>Heswall</v>
      </c>
      <c r="P30" s="20" t="n">
        <f aca="false">I30+J30</f>
        <v>5</v>
      </c>
      <c r="Q30" s="20" t="n">
        <f aca="false">IF(H30="W",M30,"")</f>
        <v>3</v>
      </c>
      <c r="R30" s="20" t="str">
        <f aca="false">IF(H30="L",-M30,"")</f>
        <v/>
      </c>
      <c r="S30" s="20" t="n">
        <f aca="false">IF(H30="W",S29+1,0)</f>
        <v>3</v>
      </c>
      <c r="T30" s="20" t="n">
        <f aca="false">IF(OR(H30="W",H30="D"),T29+1,0)</f>
        <v>3</v>
      </c>
    </row>
    <row r="31" customFormat="false" ht="15" hidden="false" customHeight="false" outlineLevel="0" collapsed="false">
      <c r="A31" s="22" t="n">
        <v>28</v>
      </c>
      <c r="B31" s="22" t="s">
        <v>67</v>
      </c>
      <c r="C31" s="22" t="s">
        <v>40</v>
      </c>
      <c r="D31" s="23" t="s">
        <v>38</v>
      </c>
      <c r="E31" s="23" t="s">
        <v>42</v>
      </c>
      <c r="F31" s="22" t="n">
        <v>3</v>
      </c>
      <c r="G31" s="22" t="n">
        <v>6</v>
      </c>
      <c r="H31" s="22" t="str">
        <f aca="false">IF($D31="Neston Nomads Vikings",IF($F31&gt;$G31,"W",IF($F31=$G31,"D","L")),IF($G31&gt;$F31,"W",IF($G31=$F31,"D","L")))</f>
        <v>L</v>
      </c>
      <c r="I31" s="22" t="n">
        <f aca="false">IF($D31="Neston Nomads Vikings",$F31,$G31)</f>
        <v>3</v>
      </c>
      <c r="J31" s="22" t="n">
        <f aca="false">IF($D31="Neston Nomads Vikings",$G31,$F31)</f>
        <v>6</v>
      </c>
      <c r="K31" s="22" t="s">
        <v>59</v>
      </c>
      <c r="L31" s="22" t="s">
        <v>41</v>
      </c>
      <c r="M31" s="22" t="n">
        <f aca="false">I31-J31</f>
        <v>-3</v>
      </c>
      <c r="N31" s="22" t="n">
        <f aca="false">SUM($M$4:M31)</f>
        <v>39</v>
      </c>
      <c r="O31" s="22" t="str">
        <f aca="false">IF($D31="Neston Nomads Vikings",$E31,$D31)</f>
        <v>Wallasey Village</v>
      </c>
      <c r="P31" s="22" t="n">
        <f aca="false">I31+J31</f>
        <v>9</v>
      </c>
      <c r="Q31" s="22" t="str">
        <f aca="false">IF(H31="W",M31,"")</f>
        <v/>
      </c>
      <c r="R31" s="22" t="n">
        <f aca="false">IF(H31="L",-M31,"")</f>
        <v>3</v>
      </c>
      <c r="S31" s="22" t="n">
        <f aca="false">IF(H31="W",S30+1,0)</f>
        <v>0</v>
      </c>
      <c r="T31" s="22" t="n">
        <f aca="false">IF(OR(H31="W",H31="D"),T30+1,0)</f>
        <v>0</v>
      </c>
    </row>
    <row r="32" customFormat="false" ht="15" hidden="false" customHeight="false" outlineLevel="0" collapsed="false">
      <c r="A32" s="20" t="n">
        <v>29</v>
      </c>
      <c r="B32" s="20" t="s">
        <v>67</v>
      </c>
      <c r="C32" s="20" t="s">
        <v>40</v>
      </c>
      <c r="D32" s="21" t="s">
        <v>38</v>
      </c>
      <c r="E32" s="21" t="s">
        <v>68</v>
      </c>
      <c r="F32" s="20" t="n">
        <v>2</v>
      </c>
      <c r="G32" s="20" t="n">
        <v>2</v>
      </c>
      <c r="H32" s="20" t="str">
        <f aca="false">IF($D32="Neston Nomads Vikings",IF($F32&gt;$G32,"W",IF($F32=$G32,"D","L")),IF($G32&gt;$F32,"W",IF($G32=$F32,"D","L")))</f>
        <v>D</v>
      </c>
      <c r="I32" s="20" t="n">
        <f aca="false">IF($D32="Neston Nomads Vikings",$F32,$G32)</f>
        <v>2</v>
      </c>
      <c r="J32" s="20" t="n">
        <f aca="false">IF($D32="Neston Nomads Vikings",$G32,$F32)</f>
        <v>2</v>
      </c>
      <c r="K32" s="20" t="s">
        <v>61</v>
      </c>
      <c r="L32" s="20" t="s">
        <v>56</v>
      </c>
      <c r="M32" s="20" t="n">
        <f aca="false">I32-J32</f>
        <v>0</v>
      </c>
      <c r="N32" s="20" t="n">
        <f aca="false">SUM($M$4:M32)</f>
        <v>39</v>
      </c>
      <c r="O32" s="20" t="str">
        <f aca="false">IF($D32="Neston Nomads Vikings",$E32,$D32)</f>
        <v>Wallasey Pumas</v>
      </c>
      <c r="P32" s="20" t="n">
        <f aca="false">I32+J32</f>
        <v>4</v>
      </c>
      <c r="Q32" s="20" t="str">
        <f aca="false">IF(H32="W",M32,"")</f>
        <v/>
      </c>
      <c r="R32" s="20" t="str">
        <f aca="false">IF(H32="L",-M32,"")</f>
        <v/>
      </c>
      <c r="S32" s="20" t="n">
        <f aca="false">IF(H32="W",S31+1,0)</f>
        <v>0</v>
      </c>
      <c r="T32" s="20" t="n">
        <f aca="false">IF(OR(H32="W",H32="D"),T31+1,0)</f>
        <v>1</v>
      </c>
    </row>
    <row r="33" customFormat="false" ht="15" hidden="false" customHeight="false" outlineLevel="0" collapsed="false">
      <c r="A33" s="22" t="n">
        <v>30</v>
      </c>
      <c r="B33" s="22" t="s">
        <v>67</v>
      </c>
      <c r="C33" s="22" t="s">
        <v>40</v>
      </c>
      <c r="D33" s="23" t="s">
        <v>38</v>
      </c>
      <c r="E33" s="23" t="s">
        <v>58</v>
      </c>
      <c r="F33" s="22" t="n">
        <v>5</v>
      </c>
      <c r="G33" s="22" t="n">
        <v>1</v>
      </c>
      <c r="H33" s="22" t="str">
        <f aca="false">IF($D33="Neston Nomads Vikings",IF($F33&gt;$G33,"W",IF($F33=$G33,"D","L")),IF($G33&gt;$F33,"W",IF($G33=$F33,"D","L")))</f>
        <v>W</v>
      </c>
      <c r="I33" s="22" t="n">
        <f aca="false">IF($D33="Neston Nomads Vikings",$F33,$G33)</f>
        <v>5</v>
      </c>
      <c r="J33" s="22" t="n">
        <f aca="false">IF($D33="Neston Nomads Vikings",$G33,$F33)</f>
        <v>1</v>
      </c>
      <c r="K33" s="22" t="s">
        <v>49</v>
      </c>
      <c r="L33" s="22" t="s">
        <v>39</v>
      </c>
      <c r="M33" s="22" t="n">
        <f aca="false">I33-J33</f>
        <v>4</v>
      </c>
      <c r="N33" s="22" t="n">
        <f aca="false">SUM($M$4:M33)</f>
        <v>43</v>
      </c>
      <c r="O33" s="22" t="str">
        <f aca="false">IF($D33="Neston Nomads Vikings",$E33,$D33)</f>
        <v>Neston Nomads Raiders</v>
      </c>
      <c r="P33" s="22" t="n">
        <f aca="false">I33+J33</f>
        <v>6</v>
      </c>
      <c r="Q33" s="22" t="n">
        <f aca="false">IF(H33="W",M33,"")</f>
        <v>4</v>
      </c>
      <c r="R33" s="22" t="str">
        <f aca="false">IF(H33="L",-M33,"")</f>
        <v/>
      </c>
      <c r="S33" s="22" t="n">
        <f aca="false">IF(H33="W",S32+1,0)</f>
        <v>1</v>
      </c>
      <c r="T33" s="22" t="n">
        <f aca="false">IF(OR(H33="W",H33="D"),T32+1,0)</f>
        <v>2</v>
      </c>
    </row>
    <row r="34" customFormat="false" ht="15" hidden="false" customHeight="false" outlineLevel="0" collapsed="false">
      <c r="A34" s="20" t="n">
        <v>31</v>
      </c>
      <c r="B34" s="20" t="s">
        <v>67</v>
      </c>
      <c r="C34" s="20" t="s">
        <v>40</v>
      </c>
      <c r="D34" s="21" t="s">
        <v>38</v>
      </c>
      <c r="E34" s="21" t="s">
        <v>69</v>
      </c>
      <c r="F34" s="20" t="n">
        <v>2</v>
      </c>
      <c r="G34" s="20" t="n">
        <v>4</v>
      </c>
      <c r="H34" s="20" t="str">
        <f aca="false">IF($D34="Neston Nomads Vikings",IF($F34&gt;$G34,"W",IF($F34=$G34,"D","L")),IF($G34&gt;$F34,"W",IF($G34=$F34,"D","L")))</f>
        <v>L</v>
      </c>
      <c r="I34" s="20" t="n">
        <f aca="false">IF($D34="Neston Nomads Vikings",$F34,$G34)</f>
        <v>2</v>
      </c>
      <c r="J34" s="20" t="n">
        <f aca="false">IF($D34="Neston Nomads Vikings",$G34,$F34)</f>
        <v>4</v>
      </c>
      <c r="K34" s="20" t="s">
        <v>59</v>
      </c>
      <c r="L34" s="20" t="s">
        <v>61</v>
      </c>
      <c r="M34" s="20" t="n">
        <f aca="false">I34-J34</f>
        <v>-2</v>
      </c>
      <c r="N34" s="20" t="n">
        <f aca="false">SUM($M$4:M34)</f>
        <v>41</v>
      </c>
      <c r="O34" s="20" t="str">
        <f aca="false">IF($D34="Neston Nomads Vikings",$E34,$D34)</f>
        <v>Saughall Colts</v>
      </c>
      <c r="P34" s="20" t="n">
        <f aca="false">I34+J34</f>
        <v>6</v>
      </c>
      <c r="Q34" s="20" t="str">
        <f aca="false">IF(H34="W",M34,"")</f>
        <v/>
      </c>
      <c r="R34" s="20" t="n">
        <f aca="false">IF(H34="L",-M34,"")</f>
        <v>2</v>
      </c>
      <c r="S34" s="20" t="n">
        <f aca="false">IF(H34="W",S33+1,0)</f>
        <v>0</v>
      </c>
      <c r="T34" s="20" t="n">
        <f aca="false">IF(OR(H34="W",H34="D"),T33+1,0)</f>
        <v>0</v>
      </c>
    </row>
    <row r="35" customFormat="false" ht="15" hidden="false" customHeight="false" outlineLevel="0" collapsed="false">
      <c r="A35" s="22" t="n">
        <v>32</v>
      </c>
      <c r="B35" s="22" t="s">
        <v>67</v>
      </c>
      <c r="C35" s="22" t="s">
        <v>40</v>
      </c>
      <c r="D35" s="23" t="s">
        <v>50</v>
      </c>
      <c r="E35" s="23" t="s">
        <v>38</v>
      </c>
      <c r="F35" s="22" t="n">
        <v>0</v>
      </c>
      <c r="G35" s="22" t="n">
        <v>7</v>
      </c>
      <c r="H35" s="22" t="str">
        <f aca="false">IF($D35="Neston Nomads Vikings",IF($F35&gt;$G35,"W",IF($F35=$G35,"D","L")),IF($G35&gt;$F35,"W",IF($G35=$F35,"D","L")))</f>
        <v>W</v>
      </c>
      <c r="I35" s="22" t="n">
        <f aca="false">IF($D35="Neston Nomads Vikings",$F35,$G35)</f>
        <v>7</v>
      </c>
      <c r="J35" s="22" t="n">
        <f aca="false">IF($D35="Neston Nomads Vikings",$G35,$F35)</f>
        <v>0</v>
      </c>
      <c r="K35" s="22" t="s">
        <v>49</v>
      </c>
      <c r="L35" s="22" t="s">
        <v>41</v>
      </c>
      <c r="M35" s="22" t="n">
        <f aca="false">I35-J35</f>
        <v>7</v>
      </c>
      <c r="N35" s="22" t="n">
        <f aca="false">SUM($M$4:M35)</f>
        <v>48</v>
      </c>
      <c r="O35" s="22" t="str">
        <f aca="false">IF($D35="Neston Nomads Vikings",$E35,$D35)</f>
        <v>West Kirby</v>
      </c>
      <c r="P35" s="22" t="n">
        <f aca="false">I35+J35</f>
        <v>7</v>
      </c>
      <c r="Q35" s="22" t="n">
        <f aca="false">IF(H35="W",M35,"")</f>
        <v>7</v>
      </c>
      <c r="R35" s="22" t="str">
        <f aca="false">IF(H35="L",-M35,"")</f>
        <v/>
      </c>
      <c r="S35" s="22" t="n">
        <f aca="false">IF(H35="W",S34+1,0)</f>
        <v>1</v>
      </c>
      <c r="T35" s="22" t="n">
        <f aca="false">IF(OR(H35="W",H35="D"),T34+1,0)</f>
        <v>1</v>
      </c>
    </row>
    <row r="36" customFormat="false" ht="15" hidden="false" customHeight="false" outlineLevel="0" collapsed="false">
      <c r="A36" s="20" t="n">
        <v>33</v>
      </c>
      <c r="B36" s="20" t="s">
        <v>67</v>
      </c>
      <c r="C36" s="20" t="s">
        <v>40</v>
      </c>
      <c r="D36" s="21" t="s">
        <v>38</v>
      </c>
      <c r="E36" s="21" t="s">
        <v>68</v>
      </c>
      <c r="F36" s="20" t="n">
        <v>1</v>
      </c>
      <c r="G36" s="20" t="n">
        <v>1</v>
      </c>
      <c r="H36" s="20" t="str">
        <f aca="false">IF($D36="Neston Nomads Vikings",IF($F36&gt;$G36,"W",IF($F36=$G36,"D","L")),IF($G36&gt;$F36,"W",IF($G36=$F36,"D","L")))</f>
        <v>D</v>
      </c>
      <c r="I36" s="20" t="n">
        <f aca="false">IF($D36="Neston Nomads Vikings",$F36,$G36)</f>
        <v>1</v>
      </c>
      <c r="J36" s="20" t="n">
        <f aca="false">IF($D36="Neston Nomads Vikings",$G36,$F36)</f>
        <v>1</v>
      </c>
      <c r="K36" s="20" t="s">
        <v>54</v>
      </c>
      <c r="L36" s="20" t="s">
        <v>56</v>
      </c>
      <c r="M36" s="20" t="n">
        <f aca="false">I36-J36</f>
        <v>0</v>
      </c>
      <c r="N36" s="20" t="n">
        <f aca="false">SUM($M$4:M36)</f>
        <v>48</v>
      </c>
      <c r="O36" s="20" t="str">
        <f aca="false">IF($D36="Neston Nomads Vikings",$E36,$D36)</f>
        <v>Wallasey Pumas</v>
      </c>
      <c r="P36" s="20" t="n">
        <f aca="false">I36+J36</f>
        <v>2</v>
      </c>
      <c r="Q36" s="20" t="str">
        <f aca="false">IF(H36="W",M36,"")</f>
        <v/>
      </c>
      <c r="R36" s="20" t="str">
        <f aca="false">IF(H36="L",-M36,"")</f>
        <v/>
      </c>
      <c r="S36" s="20" t="n">
        <f aca="false">IF(H36="W",S35+1,0)</f>
        <v>0</v>
      </c>
      <c r="T36" s="20" t="n">
        <f aca="false">IF(OR(H36="W",H36="D"),T35+1,0)</f>
        <v>2</v>
      </c>
    </row>
    <row r="37" customFormat="false" ht="15" hidden="false" customHeight="false" outlineLevel="0" collapsed="false">
      <c r="A37" s="22" t="n">
        <v>34</v>
      </c>
      <c r="B37" s="22" t="s">
        <v>67</v>
      </c>
      <c r="C37" s="22" t="s">
        <v>40</v>
      </c>
      <c r="D37" s="23" t="s">
        <v>38</v>
      </c>
      <c r="E37" s="23" t="s">
        <v>50</v>
      </c>
      <c r="F37" s="22" t="n">
        <v>9</v>
      </c>
      <c r="G37" s="22" t="n">
        <v>2</v>
      </c>
      <c r="H37" s="22" t="str">
        <f aca="false">IF($D37="Neston Nomads Vikings",IF($F37&gt;$G37,"W",IF($F37=$G37,"D","L")),IF($G37&gt;$F37,"W",IF($G37=$F37,"D","L")))</f>
        <v>W</v>
      </c>
      <c r="I37" s="22" t="n">
        <f aca="false">IF($D37="Neston Nomads Vikings",$F37,$G37)</f>
        <v>9</v>
      </c>
      <c r="J37" s="22" t="n">
        <f aca="false">IF($D37="Neston Nomads Vikings",$G37,$F37)</f>
        <v>2</v>
      </c>
      <c r="K37" s="22" t="s">
        <v>39</v>
      </c>
      <c r="L37" s="22" t="s">
        <v>43</v>
      </c>
      <c r="M37" s="22" t="n">
        <f aca="false">I37-J37</f>
        <v>7</v>
      </c>
      <c r="N37" s="22" t="n">
        <f aca="false">SUM($M$4:M37)</f>
        <v>55</v>
      </c>
      <c r="O37" s="22" t="str">
        <f aca="false">IF($D37="Neston Nomads Vikings",$E37,$D37)</f>
        <v>West Kirby</v>
      </c>
      <c r="P37" s="22" t="n">
        <f aca="false">I37+J37</f>
        <v>11</v>
      </c>
      <c r="Q37" s="22" t="n">
        <f aca="false">IF(H37="W",M37,"")</f>
        <v>7</v>
      </c>
      <c r="R37" s="22" t="str">
        <f aca="false">IF(H37="L",-M37,"")</f>
        <v/>
      </c>
      <c r="S37" s="22" t="n">
        <f aca="false">IF(H37="W",S36+1,0)</f>
        <v>1</v>
      </c>
      <c r="T37" s="22" t="n">
        <f aca="false">IF(OR(H37="W",H37="D"),T36+1,0)</f>
        <v>3</v>
      </c>
    </row>
    <row r="38" customFormat="false" ht="15" hidden="false" customHeight="false" outlineLevel="0" collapsed="false">
      <c r="A38" s="20" t="n">
        <v>35</v>
      </c>
      <c r="B38" s="20" t="s">
        <v>67</v>
      </c>
      <c r="C38" s="20" t="s">
        <v>70</v>
      </c>
      <c r="D38" s="21" t="s">
        <v>58</v>
      </c>
      <c r="E38" s="21" t="s">
        <v>38</v>
      </c>
      <c r="F38" s="20" t="n">
        <v>0</v>
      </c>
      <c r="G38" s="20" t="n">
        <v>2</v>
      </c>
      <c r="H38" s="20" t="str">
        <f aca="false">IF($D38="Neston Nomads Vikings",IF($F38&gt;$G38,"W",IF($F38=$G38,"D","L")),IF($G38&gt;$F38,"W",IF($G38=$F38,"D","L")))</f>
        <v>W</v>
      </c>
      <c r="I38" s="20" t="n">
        <f aca="false">IF($D38="Neston Nomads Vikings",$F38,$G38)</f>
        <v>2</v>
      </c>
      <c r="J38" s="20" t="n">
        <f aca="false">IF($D38="Neston Nomads Vikings",$G38,$F38)</f>
        <v>0</v>
      </c>
      <c r="K38" s="20" t="s">
        <v>52</v>
      </c>
      <c r="L38" s="20" t="s">
        <v>56</v>
      </c>
      <c r="M38" s="20" t="n">
        <f aca="false">I38-J38</f>
        <v>2</v>
      </c>
      <c r="N38" s="20" t="n">
        <f aca="false">SUM($M$4:M38)</f>
        <v>57</v>
      </c>
      <c r="O38" s="20" t="str">
        <f aca="false">IF($D38="Neston Nomads Vikings",$E38,$D38)</f>
        <v>Neston Nomads Raiders</v>
      </c>
      <c r="P38" s="20" t="n">
        <f aca="false">I38+J38</f>
        <v>2</v>
      </c>
      <c r="Q38" s="20" t="n">
        <f aca="false">IF(H38="W",M38,"")</f>
        <v>2</v>
      </c>
      <c r="R38" s="20" t="str">
        <f aca="false">IF(H38="L",-M38,"")</f>
        <v/>
      </c>
      <c r="S38" s="20" t="n">
        <f aca="false">IF(H38="W",S37+1,0)</f>
        <v>2</v>
      </c>
      <c r="T38" s="20" t="n">
        <f aca="false">IF(OR(H38="W",H38="D"),T37+1,0)</f>
        <v>4</v>
      </c>
    </row>
  </sheetData>
  <mergeCells count="1">
    <mergeCell ref="A1:T1"/>
  </mergeCells>
  <conditionalFormatting sqref="H4:H38">
    <cfRule type="cellIs" priority="2" operator="equal" aboveAverage="0" equalAverage="0" bottom="0" percent="0" rank="0" text="" dxfId="0">
      <formula>"W"</formula>
    </cfRule>
    <cfRule type="cellIs" priority="3" operator="equal" aboveAverage="0" equalAverage="0" bottom="0" percent="0" rank="0" text="" dxfId="1">
      <formula>"D"</formula>
    </cfRule>
    <cfRule type="cellIs" priority="4" operator="equal" aboveAverage="0" equalAverage="0" bottom="0" percent="0" rank="0" text="" dxfId="2">
      <formula>"L"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</cols>
  <sheetData>
    <row r="1" customFormat="false" ht="24" hidden="false" customHeight="true" outlineLevel="0" collapsed="false">
      <c r="A1" s="18" t="s">
        <v>71</v>
      </c>
      <c r="B1" s="18"/>
      <c r="C1" s="18"/>
    </row>
    <row r="3" customFormat="false" ht="15" hidden="false" customHeight="false" outlineLevel="0" collapsed="false">
      <c r="A3" s="19" t="s">
        <v>15</v>
      </c>
      <c r="B3" s="19" t="s">
        <v>72</v>
      </c>
      <c r="C3" s="19" t="s">
        <v>73</v>
      </c>
    </row>
    <row r="4" customFormat="false" ht="15" hidden="false" customHeight="false" outlineLevel="0" collapsed="false">
      <c r="A4" s="20" t="n">
        <v>1</v>
      </c>
      <c r="B4" s="21" t="s">
        <v>41</v>
      </c>
      <c r="C4" s="20" t="n">
        <v>1</v>
      </c>
    </row>
    <row r="5" customFormat="false" ht="15" hidden="false" customHeight="false" outlineLevel="0" collapsed="false">
      <c r="A5" s="22" t="n">
        <v>1</v>
      </c>
      <c r="B5" s="23" t="s">
        <v>39</v>
      </c>
      <c r="C5" s="22" t="n">
        <v>2</v>
      </c>
    </row>
    <row r="6" customFormat="false" ht="15" hidden="false" customHeight="false" outlineLevel="0" collapsed="false">
      <c r="A6" s="20" t="n">
        <v>1</v>
      </c>
      <c r="B6" s="21" t="s">
        <v>43</v>
      </c>
      <c r="C6" s="20" t="n">
        <v>1</v>
      </c>
    </row>
    <row r="7" customFormat="false" ht="15" hidden="false" customHeight="false" outlineLevel="0" collapsed="false">
      <c r="A7" s="22" t="n">
        <v>1</v>
      </c>
      <c r="B7" s="23" t="s">
        <v>56</v>
      </c>
      <c r="C7" s="22" t="n">
        <v>2</v>
      </c>
    </row>
    <row r="8" customFormat="false" ht="15" hidden="false" customHeight="false" outlineLevel="0" collapsed="false">
      <c r="A8" s="20" t="n">
        <v>2</v>
      </c>
      <c r="B8" s="21" t="s">
        <v>39</v>
      </c>
      <c r="C8" s="20" t="n">
        <v>2</v>
      </c>
    </row>
    <row r="9" customFormat="false" ht="15" hidden="false" customHeight="false" outlineLevel="0" collapsed="false">
      <c r="A9" s="22" t="n">
        <v>2</v>
      </c>
      <c r="B9" s="23" t="s">
        <v>56</v>
      </c>
      <c r="C9" s="22" t="n">
        <v>2</v>
      </c>
    </row>
    <row r="10" customFormat="false" ht="15" hidden="false" customHeight="false" outlineLevel="0" collapsed="false">
      <c r="A10" s="20" t="n">
        <v>3</v>
      </c>
      <c r="B10" s="21" t="s">
        <v>43</v>
      </c>
      <c r="C10" s="20" t="n">
        <v>1</v>
      </c>
    </row>
    <row r="11" customFormat="false" ht="15" hidden="false" customHeight="false" outlineLevel="0" collapsed="false">
      <c r="A11" s="22" t="n">
        <v>3</v>
      </c>
      <c r="B11" s="23" t="s">
        <v>41</v>
      </c>
      <c r="C11" s="22" t="n">
        <v>2</v>
      </c>
    </row>
    <row r="12" customFormat="false" ht="15" hidden="false" customHeight="false" outlineLevel="0" collapsed="false">
      <c r="A12" s="20" t="n">
        <v>3</v>
      </c>
      <c r="B12" s="21" t="s">
        <v>39</v>
      </c>
      <c r="C12" s="20" t="n">
        <v>1</v>
      </c>
    </row>
    <row r="13" customFormat="false" ht="15" hidden="false" customHeight="false" outlineLevel="0" collapsed="false">
      <c r="A13" s="22" t="n">
        <v>3</v>
      </c>
      <c r="B13" s="23" t="s">
        <v>54</v>
      </c>
      <c r="C13" s="22" t="n">
        <v>1</v>
      </c>
    </row>
    <row r="14" customFormat="false" ht="15" hidden="false" customHeight="false" outlineLevel="0" collapsed="false">
      <c r="A14" s="20" t="n">
        <v>3</v>
      </c>
      <c r="B14" s="21" t="s">
        <v>49</v>
      </c>
      <c r="C14" s="20" t="n">
        <v>1</v>
      </c>
    </row>
    <row r="15" customFormat="false" ht="15" hidden="false" customHeight="false" outlineLevel="0" collapsed="false">
      <c r="A15" s="22" t="n">
        <v>4</v>
      </c>
      <c r="B15" s="23" t="s">
        <v>43</v>
      </c>
      <c r="C15" s="22" t="n">
        <v>1</v>
      </c>
    </row>
    <row r="16" customFormat="false" ht="15" hidden="false" customHeight="false" outlineLevel="0" collapsed="false">
      <c r="A16" s="20" t="n">
        <v>4</v>
      </c>
      <c r="B16" s="21" t="s">
        <v>56</v>
      </c>
      <c r="C16" s="20" t="n">
        <v>1</v>
      </c>
    </row>
    <row r="17" customFormat="false" ht="15" hidden="false" customHeight="false" outlineLevel="0" collapsed="false">
      <c r="A17" s="22" t="n">
        <v>4</v>
      </c>
      <c r="B17" s="23" t="s">
        <v>41</v>
      </c>
      <c r="C17" s="22" t="n">
        <v>2</v>
      </c>
    </row>
    <row r="18" customFormat="false" ht="15" hidden="false" customHeight="false" outlineLevel="0" collapsed="false">
      <c r="A18" s="20" t="n">
        <v>4</v>
      </c>
      <c r="B18" s="21" t="s">
        <v>59</v>
      </c>
      <c r="C18" s="20" t="n">
        <v>1</v>
      </c>
    </row>
    <row r="19" customFormat="false" ht="15" hidden="false" customHeight="false" outlineLevel="0" collapsed="false">
      <c r="A19" s="22" t="n">
        <v>4</v>
      </c>
      <c r="B19" s="23" t="s">
        <v>54</v>
      </c>
      <c r="C19" s="22" t="n">
        <v>1</v>
      </c>
    </row>
    <row r="20" customFormat="false" ht="15" hidden="false" customHeight="false" outlineLevel="0" collapsed="false">
      <c r="A20" s="20" t="n">
        <v>5</v>
      </c>
      <c r="B20" s="21" t="s">
        <v>39</v>
      </c>
      <c r="C20" s="20" t="n">
        <v>1</v>
      </c>
    </row>
    <row r="21" customFormat="false" ht="15" hidden="false" customHeight="false" outlineLevel="0" collapsed="false">
      <c r="A21" s="22" t="n">
        <v>5</v>
      </c>
      <c r="B21" s="23" t="s">
        <v>43</v>
      </c>
      <c r="C21" s="22" t="n">
        <v>2</v>
      </c>
    </row>
    <row r="22" customFormat="false" ht="15" hidden="false" customHeight="false" outlineLevel="0" collapsed="false">
      <c r="A22" s="20" t="n">
        <v>5</v>
      </c>
      <c r="B22" s="21" t="s">
        <v>56</v>
      </c>
      <c r="C22" s="20" t="n">
        <v>1</v>
      </c>
    </row>
    <row r="23" customFormat="false" ht="15" hidden="false" customHeight="false" outlineLevel="0" collapsed="false">
      <c r="A23" s="22" t="n">
        <v>5</v>
      </c>
      <c r="B23" s="23" t="s">
        <v>41</v>
      </c>
      <c r="C23" s="22" t="n">
        <v>1</v>
      </c>
    </row>
    <row r="24" customFormat="false" ht="15" hidden="false" customHeight="false" outlineLevel="0" collapsed="false">
      <c r="A24" s="20" t="n">
        <v>6</v>
      </c>
      <c r="B24" s="21" t="s">
        <v>56</v>
      </c>
      <c r="C24" s="20" t="n">
        <v>3</v>
      </c>
    </row>
    <row r="25" customFormat="false" ht="15" hidden="false" customHeight="false" outlineLevel="0" collapsed="false">
      <c r="A25" s="22" t="n">
        <v>6</v>
      </c>
      <c r="B25" s="23" t="s">
        <v>43</v>
      </c>
      <c r="C25" s="22" t="n">
        <v>1</v>
      </c>
    </row>
    <row r="26" customFormat="false" ht="15" hidden="false" customHeight="false" outlineLevel="0" collapsed="false">
      <c r="A26" s="20" t="n">
        <v>6</v>
      </c>
      <c r="B26" s="21" t="s">
        <v>59</v>
      </c>
      <c r="C26" s="20" t="n">
        <v>1</v>
      </c>
    </row>
    <row r="27" customFormat="false" ht="15" hidden="false" customHeight="false" outlineLevel="0" collapsed="false">
      <c r="A27" s="22" t="n">
        <v>6</v>
      </c>
      <c r="B27" s="23" t="s">
        <v>49</v>
      </c>
      <c r="C27" s="22" t="n">
        <v>1</v>
      </c>
    </row>
    <row r="28" customFormat="false" ht="15" hidden="false" customHeight="false" outlineLevel="0" collapsed="false">
      <c r="A28" s="20" t="n">
        <v>7</v>
      </c>
      <c r="B28" s="21" t="s">
        <v>43</v>
      </c>
      <c r="C28" s="20" t="n">
        <v>2</v>
      </c>
    </row>
    <row r="29" customFormat="false" ht="15" hidden="false" customHeight="false" outlineLevel="0" collapsed="false">
      <c r="A29" s="22" t="n">
        <v>7</v>
      </c>
      <c r="B29" s="23" t="s">
        <v>49</v>
      </c>
      <c r="C29" s="22" t="n">
        <v>1</v>
      </c>
    </row>
    <row r="30" customFormat="false" ht="15" hidden="false" customHeight="false" outlineLevel="0" collapsed="false">
      <c r="A30" s="20" t="n">
        <v>7</v>
      </c>
      <c r="B30" s="21" t="s">
        <v>39</v>
      </c>
      <c r="C30" s="20" t="n">
        <v>1</v>
      </c>
    </row>
    <row r="31" customFormat="false" ht="15" hidden="false" customHeight="false" outlineLevel="0" collapsed="false">
      <c r="A31" s="22" t="n">
        <v>7</v>
      </c>
      <c r="B31" s="23" t="s">
        <v>56</v>
      </c>
      <c r="C31" s="22" t="n">
        <v>1</v>
      </c>
    </row>
    <row r="32" customFormat="false" ht="15" hidden="false" customHeight="false" outlineLevel="0" collapsed="false">
      <c r="A32" s="20" t="n">
        <v>8</v>
      </c>
      <c r="B32" s="21" t="s">
        <v>56</v>
      </c>
      <c r="C32" s="20" t="n">
        <v>1</v>
      </c>
    </row>
    <row r="33" customFormat="false" ht="15" hidden="false" customHeight="false" outlineLevel="0" collapsed="false">
      <c r="A33" s="22" t="n">
        <v>9</v>
      </c>
      <c r="B33" s="23" t="s">
        <v>56</v>
      </c>
      <c r="C33" s="22" t="n">
        <v>1</v>
      </c>
    </row>
    <row r="34" customFormat="false" ht="15" hidden="false" customHeight="false" outlineLevel="0" collapsed="false">
      <c r="A34" s="20" t="n">
        <v>9</v>
      </c>
      <c r="B34" s="21" t="s">
        <v>39</v>
      </c>
      <c r="C34" s="20" t="n">
        <v>1</v>
      </c>
    </row>
    <row r="35" customFormat="false" ht="15" hidden="false" customHeight="false" outlineLevel="0" collapsed="false">
      <c r="A35" s="22" t="n">
        <v>9</v>
      </c>
      <c r="B35" s="23" t="s">
        <v>43</v>
      </c>
      <c r="C35" s="22" t="n">
        <v>1</v>
      </c>
    </row>
    <row r="36" customFormat="false" ht="15" hidden="false" customHeight="false" outlineLevel="0" collapsed="false">
      <c r="A36" s="20" t="n">
        <v>10</v>
      </c>
      <c r="B36" s="21" t="s">
        <v>43</v>
      </c>
      <c r="C36" s="20" t="n">
        <v>1</v>
      </c>
    </row>
    <row r="37" customFormat="false" ht="15" hidden="false" customHeight="false" outlineLevel="0" collapsed="false">
      <c r="A37" s="22" t="n">
        <v>11</v>
      </c>
      <c r="B37" s="23" t="s">
        <v>39</v>
      </c>
      <c r="C37" s="22" t="n">
        <v>1</v>
      </c>
    </row>
    <row r="38" customFormat="false" ht="15" hidden="false" customHeight="false" outlineLevel="0" collapsed="false">
      <c r="A38" s="20" t="n">
        <v>11</v>
      </c>
      <c r="B38" s="21" t="s">
        <v>56</v>
      </c>
      <c r="C38" s="20" t="n">
        <v>2</v>
      </c>
    </row>
    <row r="39" customFormat="false" ht="15" hidden="false" customHeight="false" outlineLevel="0" collapsed="false">
      <c r="A39" s="22" t="n">
        <v>11</v>
      </c>
      <c r="B39" s="23" t="s">
        <v>41</v>
      </c>
      <c r="C39" s="22" t="n">
        <v>1</v>
      </c>
    </row>
    <row r="40" customFormat="false" ht="15" hidden="false" customHeight="false" outlineLevel="0" collapsed="false">
      <c r="A40" s="20" t="n">
        <v>12</v>
      </c>
      <c r="B40" s="21" t="s">
        <v>43</v>
      </c>
      <c r="C40" s="20" t="n">
        <v>2</v>
      </c>
    </row>
    <row r="41" customFormat="false" ht="15" hidden="false" customHeight="false" outlineLevel="0" collapsed="false">
      <c r="A41" s="22" t="n">
        <v>12</v>
      </c>
      <c r="B41" s="23" t="s">
        <v>74</v>
      </c>
      <c r="C41" s="22" t="n">
        <v>1</v>
      </c>
    </row>
    <row r="42" customFormat="false" ht="15" hidden="false" customHeight="false" outlineLevel="0" collapsed="false">
      <c r="A42" s="20" t="n">
        <v>12</v>
      </c>
      <c r="B42" s="21" t="s">
        <v>57</v>
      </c>
      <c r="C42" s="20" t="n">
        <v>1</v>
      </c>
    </row>
    <row r="43" customFormat="false" ht="15" hidden="false" customHeight="false" outlineLevel="0" collapsed="false">
      <c r="A43" s="22" t="n">
        <v>13</v>
      </c>
      <c r="B43" s="23" t="s">
        <v>43</v>
      </c>
      <c r="C43" s="22" t="n">
        <v>1</v>
      </c>
    </row>
    <row r="44" customFormat="false" ht="15" hidden="false" customHeight="false" outlineLevel="0" collapsed="false">
      <c r="A44" s="20" t="n">
        <v>13</v>
      </c>
      <c r="B44" s="21" t="s">
        <v>57</v>
      </c>
      <c r="C44" s="20" t="n">
        <v>1</v>
      </c>
    </row>
    <row r="45" customFormat="false" ht="15" hidden="false" customHeight="false" outlineLevel="0" collapsed="false">
      <c r="A45" s="22" t="n">
        <v>15</v>
      </c>
      <c r="B45" s="23" t="s">
        <v>41</v>
      </c>
      <c r="C45" s="22" t="n">
        <v>1</v>
      </c>
    </row>
    <row r="46" customFormat="false" ht="15" hidden="false" customHeight="false" outlineLevel="0" collapsed="false">
      <c r="A46" s="20" t="n">
        <v>15</v>
      </c>
      <c r="B46" s="21" t="s">
        <v>43</v>
      </c>
      <c r="C46" s="20" t="n">
        <v>1</v>
      </c>
    </row>
    <row r="47" customFormat="false" ht="15" hidden="false" customHeight="false" outlineLevel="0" collapsed="false">
      <c r="A47" s="22" t="n">
        <v>15</v>
      </c>
      <c r="B47" s="23" t="s">
        <v>39</v>
      </c>
      <c r="C47" s="22" t="n">
        <v>1</v>
      </c>
    </row>
    <row r="48" customFormat="false" ht="15" hidden="false" customHeight="false" outlineLevel="0" collapsed="false">
      <c r="A48" s="20" t="n">
        <v>16</v>
      </c>
      <c r="B48" s="21" t="s">
        <v>39</v>
      </c>
      <c r="C48" s="20" t="n">
        <v>2</v>
      </c>
    </row>
    <row r="49" customFormat="false" ht="15" hidden="false" customHeight="false" outlineLevel="0" collapsed="false">
      <c r="A49" s="22" t="n">
        <v>16</v>
      </c>
      <c r="B49" s="23" t="s">
        <v>43</v>
      </c>
      <c r="C49" s="22" t="n">
        <v>2</v>
      </c>
    </row>
    <row r="50" customFormat="false" ht="15" hidden="false" customHeight="false" outlineLevel="0" collapsed="false">
      <c r="A50" s="20" t="n">
        <v>16</v>
      </c>
      <c r="B50" s="21" t="s">
        <v>56</v>
      </c>
      <c r="C50" s="20" t="n">
        <v>2</v>
      </c>
    </row>
    <row r="51" customFormat="false" ht="15" hidden="false" customHeight="false" outlineLevel="0" collapsed="false">
      <c r="A51" s="22" t="n">
        <v>16</v>
      </c>
      <c r="B51" s="23" t="s">
        <v>59</v>
      </c>
      <c r="C51" s="22" t="n">
        <v>1</v>
      </c>
    </row>
    <row r="52" customFormat="false" ht="15" hidden="false" customHeight="false" outlineLevel="0" collapsed="false">
      <c r="A52" s="20" t="n">
        <v>17</v>
      </c>
      <c r="B52" s="21" t="s">
        <v>56</v>
      </c>
      <c r="C52" s="20" t="n">
        <v>3</v>
      </c>
    </row>
    <row r="53" customFormat="false" ht="15" hidden="false" customHeight="false" outlineLevel="0" collapsed="false">
      <c r="A53" s="22" t="n">
        <v>17</v>
      </c>
      <c r="B53" s="23" t="s">
        <v>52</v>
      </c>
      <c r="C53" s="22" t="n">
        <v>1</v>
      </c>
    </row>
    <row r="54" customFormat="false" ht="15" hidden="false" customHeight="false" outlineLevel="0" collapsed="false">
      <c r="A54" s="20" t="n">
        <v>17</v>
      </c>
      <c r="B54" s="21" t="s">
        <v>49</v>
      </c>
      <c r="C54" s="20" t="n">
        <v>2</v>
      </c>
    </row>
    <row r="55" customFormat="false" ht="15" hidden="false" customHeight="false" outlineLevel="0" collapsed="false">
      <c r="A55" s="22" t="n">
        <v>17</v>
      </c>
      <c r="B55" s="23" t="s">
        <v>54</v>
      </c>
      <c r="C55" s="22" t="n">
        <v>1</v>
      </c>
    </row>
    <row r="56" customFormat="false" ht="15" hidden="false" customHeight="false" outlineLevel="0" collapsed="false">
      <c r="A56" s="20" t="n">
        <v>18</v>
      </c>
      <c r="B56" s="21" t="s">
        <v>56</v>
      </c>
      <c r="C56" s="20" t="n">
        <v>2</v>
      </c>
    </row>
    <row r="57" customFormat="false" ht="15" hidden="false" customHeight="false" outlineLevel="0" collapsed="false">
      <c r="A57" s="22" t="n">
        <v>18</v>
      </c>
      <c r="B57" s="23" t="s">
        <v>49</v>
      </c>
      <c r="C57" s="22" t="n">
        <v>1</v>
      </c>
    </row>
    <row r="58" customFormat="false" ht="15" hidden="false" customHeight="false" outlineLevel="0" collapsed="false">
      <c r="A58" s="20" t="n">
        <v>18</v>
      </c>
      <c r="B58" s="21" t="s">
        <v>41</v>
      </c>
      <c r="C58" s="20" t="n">
        <v>2</v>
      </c>
    </row>
    <row r="59" customFormat="false" ht="15" hidden="false" customHeight="false" outlineLevel="0" collapsed="false">
      <c r="A59" s="22" t="n">
        <v>19</v>
      </c>
      <c r="B59" s="23" t="s">
        <v>56</v>
      </c>
      <c r="C59" s="22" t="n">
        <v>1</v>
      </c>
    </row>
    <row r="60" customFormat="false" ht="15" hidden="false" customHeight="false" outlineLevel="0" collapsed="false">
      <c r="A60" s="20" t="n">
        <v>19</v>
      </c>
      <c r="B60" s="21" t="s">
        <v>61</v>
      </c>
      <c r="C60" s="20" t="n">
        <v>1</v>
      </c>
    </row>
    <row r="61" customFormat="false" ht="15" hidden="false" customHeight="false" outlineLevel="0" collapsed="false">
      <c r="A61" s="22" t="n">
        <v>19</v>
      </c>
      <c r="B61" s="23" t="s">
        <v>41</v>
      </c>
      <c r="C61" s="22" t="n">
        <v>1</v>
      </c>
    </row>
    <row r="62" customFormat="false" ht="15" hidden="false" customHeight="false" outlineLevel="0" collapsed="false">
      <c r="A62" s="20" t="n">
        <v>20</v>
      </c>
      <c r="B62" s="21" t="s">
        <v>61</v>
      </c>
      <c r="C62" s="20" t="n">
        <v>1</v>
      </c>
    </row>
    <row r="63" customFormat="false" ht="15" hidden="false" customHeight="false" outlineLevel="0" collapsed="false">
      <c r="A63" s="22" t="n">
        <v>20</v>
      </c>
      <c r="B63" s="23" t="s">
        <v>56</v>
      </c>
      <c r="C63" s="22" t="n">
        <v>3</v>
      </c>
    </row>
    <row r="64" customFormat="false" ht="15" hidden="false" customHeight="false" outlineLevel="0" collapsed="false">
      <c r="A64" s="20" t="n">
        <v>21</v>
      </c>
      <c r="B64" s="21" t="s">
        <v>54</v>
      </c>
      <c r="C64" s="20" t="n">
        <v>1</v>
      </c>
    </row>
    <row r="65" customFormat="false" ht="15" hidden="false" customHeight="false" outlineLevel="0" collapsed="false">
      <c r="A65" s="22" t="n">
        <v>21</v>
      </c>
      <c r="B65" s="23" t="s">
        <v>39</v>
      </c>
      <c r="C65" s="22" t="n">
        <v>1</v>
      </c>
    </row>
    <row r="66" customFormat="false" ht="15" hidden="false" customHeight="false" outlineLevel="0" collapsed="false">
      <c r="A66" s="20" t="n">
        <v>21</v>
      </c>
      <c r="B66" s="21" t="s">
        <v>43</v>
      </c>
      <c r="C66" s="20" t="n">
        <v>2</v>
      </c>
    </row>
    <row r="67" customFormat="false" ht="15" hidden="false" customHeight="false" outlineLevel="0" collapsed="false">
      <c r="A67" s="22" t="n">
        <v>21</v>
      </c>
      <c r="B67" s="23" t="s">
        <v>57</v>
      </c>
      <c r="C67" s="22" t="n">
        <v>1</v>
      </c>
    </row>
    <row r="68" customFormat="false" ht="15" hidden="false" customHeight="false" outlineLevel="0" collapsed="false">
      <c r="A68" s="20" t="n">
        <v>22</v>
      </c>
      <c r="B68" s="21" t="s">
        <v>52</v>
      </c>
      <c r="C68" s="20" t="n">
        <v>1</v>
      </c>
    </row>
    <row r="69" customFormat="false" ht="15" hidden="false" customHeight="false" outlineLevel="0" collapsed="false">
      <c r="A69" s="22" t="n">
        <v>22</v>
      </c>
      <c r="B69" s="23" t="s">
        <v>43</v>
      </c>
      <c r="C69" s="22" t="n">
        <v>1</v>
      </c>
    </row>
    <row r="70" customFormat="false" ht="15" hidden="false" customHeight="false" outlineLevel="0" collapsed="false">
      <c r="A70" s="20" t="n">
        <v>22</v>
      </c>
      <c r="B70" s="21" t="s">
        <v>56</v>
      </c>
      <c r="C70" s="20" t="n">
        <v>1</v>
      </c>
    </row>
    <row r="71" customFormat="false" ht="15" hidden="false" customHeight="false" outlineLevel="0" collapsed="false">
      <c r="A71" s="22" t="n">
        <v>22</v>
      </c>
      <c r="B71" s="23" t="s">
        <v>74</v>
      </c>
      <c r="C71" s="22" t="n">
        <v>1</v>
      </c>
    </row>
    <row r="72" customFormat="false" ht="15" hidden="false" customHeight="false" outlineLevel="0" collapsed="false">
      <c r="A72" s="20" t="n">
        <v>23</v>
      </c>
      <c r="B72" s="21" t="s">
        <v>56</v>
      </c>
      <c r="C72" s="20" t="n">
        <v>1</v>
      </c>
    </row>
    <row r="73" customFormat="false" ht="15" hidden="false" customHeight="false" outlineLevel="0" collapsed="false">
      <c r="A73" s="22" t="n">
        <v>23</v>
      </c>
      <c r="B73" s="23" t="s">
        <v>54</v>
      </c>
      <c r="C73" s="22" t="n">
        <v>1</v>
      </c>
    </row>
    <row r="74" customFormat="false" ht="15" hidden="false" customHeight="false" outlineLevel="0" collapsed="false">
      <c r="A74" s="20" t="n">
        <v>23</v>
      </c>
      <c r="B74" s="21" t="s">
        <v>41</v>
      </c>
      <c r="C74" s="20" t="n">
        <v>2</v>
      </c>
    </row>
    <row r="75" customFormat="false" ht="15" hidden="false" customHeight="false" outlineLevel="0" collapsed="false">
      <c r="A75" s="22" t="n">
        <v>25</v>
      </c>
      <c r="B75" s="23" t="s">
        <v>56</v>
      </c>
      <c r="C75" s="22" t="n">
        <v>1</v>
      </c>
    </row>
    <row r="76" customFormat="false" ht="15" hidden="false" customHeight="false" outlineLevel="0" collapsed="false">
      <c r="A76" s="20" t="n">
        <v>25</v>
      </c>
      <c r="B76" s="21" t="s">
        <v>74</v>
      </c>
      <c r="C76" s="20" t="n">
        <v>1</v>
      </c>
    </row>
    <row r="77" customFormat="false" ht="15" hidden="false" customHeight="false" outlineLevel="0" collapsed="false">
      <c r="A77" s="22" t="n">
        <v>25</v>
      </c>
      <c r="B77" s="23" t="s">
        <v>54</v>
      </c>
      <c r="C77" s="22" t="n">
        <v>1</v>
      </c>
    </row>
    <row r="78" customFormat="false" ht="15" hidden="false" customHeight="false" outlineLevel="0" collapsed="false">
      <c r="A78" s="20" t="n">
        <v>25</v>
      </c>
      <c r="B78" s="21" t="s">
        <v>43</v>
      </c>
      <c r="C78" s="20" t="n">
        <v>2</v>
      </c>
    </row>
    <row r="79" customFormat="false" ht="15" hidden="false" customHeight="false" outlineLevel="0" collapsed="false">
      <c r="A79" s="22" t="n">
        <v>25</v>
      </c>
      <c r="B79" s="23" t="s">
        <v>41</v>
      </c>
      <c r="C79" s="22" t="n">
        <v>2</v>
      </c>
    </row>
    <row r="80" customFormat="false" ht="15" hidden="false" customHeight="false" outlineLevel="0" collapsed="false">
      <c r="A80" s="20" t="n">
        <v>26</v>
      </c>
      <c r="B80" s="21" t="s">
        <v>54</v>
      </c>
      <c r="C80" s="20" t="n">
        <v>2</v>
      </c>
    </row>
    <row r="81" customFormat="false" ht="15" hidden="false" customHeight="false" outlineLevel="0" collapsed="false">
      <c r="A81" s="22" t="n">
        <v>26</v>
      </c>
      <c r="B81" s="23" t="s">
        <v>41</v>
      </c>
      <c r="C81" s="22" t="n">
        <v>1</v>
      </c>
    </row>
    <row r="82" customFormat="false" ht="15" hidden="false" customHeight="false" outlineLevel="0" collapsed="false">
      <c r="A82" s="20" t="n">
        <v>26</v>
      </c>
      <c r="B82" s="21" t="s">
        <v>56</v>
      </c>
      <c r="C82" s="20" t="n">
        <v>1</v>
      </c>
    </row>
    <row r="83" customFormat="false" ht="15" hidden="false" customHeight="false" outlineLevel="0" collapsed="false">
      <c r="A83" s="22" t="n">
        <v>26</v>
      </c>
      <c r="B83" s="23" t="s">
        <v>43</v>
      </c>
      <c r="C83" s="22" t="n">
        <v>1</v>
      </c>
    </row>
    <row r="84" customFormat="false" ht="15" hidden="false" customHeight="false" outlineLevel="0" collapsed="false">
      <c r="A84" s="20" t="n">
        <v>27</v>
      </c>
      <c r="B84" s="21" t="s">
        <v>54</v>
      </c>
      <c r="C84" s="20" t="n">
        <v>1</v>
      </c>
    </row>
    <row r="85" customFormat="false" ht="15" hidden="false" customHeight="false" outlineLevel="0" collapsed="false">
      <c r="A85" s="22" t="n">
        <v>27</v>
      </c>
      <c r="B85" s="23" t="s">
        <v>39</v>
      </c>
      <c r="C85" s="22" t="n">
        <v>1</v>
      </c>
    </row>
    <row r="86" customFormat="false" ht="15" hidden="false" customHeight="false" outlineLevel="0" collapsed="false">
      <c r="A86" s="20" t="n">
        <v>27</v>
      </c>
      <c r="B86" s="21" t="s">
        <v>43</v>
      </c>
      <c r="C86" s="20" t="n">
        <v>1</v>
      </c>
    </row>
    <row r="87" customFormat="false" ht="15" hidden="false" customHeight="false" outlineLevel="0" collapsed="false">
      <c r="A87" s="22" t="n">
        <v>27</v>
      </c>
      <c r="B87" s="23" t="s">
        <v>41</v>
      </c>
      <c r="C87" s="22" t="n">
        <v>1</v>
      </c>
    </row>
    <row r="88" customFormat="false" ht="15" hidden="false" customHeight="false" outlineLevel="0" collapsed="false">
      <c r="A88" s="20" t="n">
        <v>28</v>
      </c>
      <c r="B88" s="21" t="s">
        <v>54</v>
      </c>
      <c r="C88" s="20" t="n">
        <v>1</v>
      </c>
    </row>
    <row r="89" customFormat="false" ht="15" hidden="false" customHeight="false" outlineLevel="0" collapsed="false">
      <c r="A89" s="22" t="n">
        <v>28</v>
      </c>
      <c r="B89" s="23" t="s">
        <v>41</v>
      </c>
      <c r="C89" s="22" t="n">
        <v>1</v>
      </c>
    </row>
    <row r="90" customFormat="false" ht="15" hidden="false" customHeight="false" outlineLevel="0" collapsed="false">
      <c r="A90" s="20" t="n">
        <v>28</v>
      </c>
      <c r="B90" s="21" t="s">
        <v>43</v>
      </c>
      <c r="C90" s="20" t="n">
        <v>1</v>
      </c>
    </row>
    <row r="91" customFormat="false" ht="15" hidden="false" customHeight="false" outlineLevel="0" collapsed="false">
      <c r="A91" s="22" t="n">
        <v>29</v>
      </c>
      <c r="B91" s="23" t="s">
        <v>54</v>
      </c>
      <c r="C91" s="22" t="n">
        <v>1</v>
      </c>
    </row>
    <row r="92" customFormat="false" ht="15" hidden="false" customHeight="false" outlineLevel="0" collapsed="false">
      <c r="A92" s="20" t="n">
        <v>29</v>
      </c>
      <c r="B92" s="21" t="s">
        <v>43</v>
      </c>
      <c r="C92" s="20" t="n">
        <v>1</v>
      </c>
    </row>
    <row r="93" customFormat="false" ht="15" hidden="false" customHeight="false" outlineLevel="0" collapsed="false">
      <c r="A93" s="22" t="n">
        <v>30</v>
      </c>
      <c r="B93" s="23" t="s">
        <v>49</v>
      </c>
      <c r="C93" s="22" t="n">
        <v>1</v>
      </c>
    </row>
    <row r="94" customFormat="false" ht="15" hidden="false" customHeight="false" outlineLevel="0" collapsed="false">
      <c r="A94" s="20" t="n">
        <v>30</v>
      </c>
      <c r="B94" s="21" t="s">
        <v>52</v>
      </c>
      <c r="C94" s="20" t="n">
        <v>1</v>
      </c>
    </row>
    <row r="95" customFormat="false" ht="15" hidden="false" customHeight="false" outlineLevel="0" collapsed="false">
      <c r="A95" s="22" t="n">
        <v>30</v>
      </c>
      <c r="B95" s="23" t="s">
        <v>56</v>
      </c>
      <c r="C95" s="22" t="n">
        <v>1</v>
      </c>
    </row>
    <row r="96" customFormat="false" ht="15" hidden="false" customHeight="false" outlineLevel="0" collapsed="false">
      <c r="A96" s="20" t="n">
        <v>30</v>
      </c>
      <c r="B96" s="21" t="s">
        <v>54</v>
      </c>
      <c r="C96" s="20" t="n">
        <v>1</v>
      </c>
    </row>
    <row r="97" customFormat="false" ht="15" hidden="false" customHeight="false" outlineLevel="0" collapsed="false">
      <c r="A97" s="22" t="n">
        <v>30</v>
      </c>
      <c r="B97" s="23" t="s">
        <v>39</v>
      </c>
      <c r="C97" s="22" t="n">
        <v>1</v>
      </c>
    </row>
    <row r="98" customFormat="false" ht="15" hidden="false" customHeight="false" outlineLevel="0" collapsed="false">
      <c r="A98" s="20" t="n">
        <v>31</v>
      </c>
      <c r="B98" s="21" t="s">
        <v>52</v>
      </c>
      <c r="C98" s="20" t="n">
        <v>1</v>
      </c>
    </row>
    <row r="99" customFormat="false" ht="15" hidden="false" customHeight="false" outlineLevel="0" collapsed="false">
      <c r="A99" s="22" t="n">
        <v>31</v>
      </c>
      <c r="B99" s="23" t="s">
        <v>39</v>
      </c>
      <c r="C99" s="22" t="n">
        <v>1</v>
      </c>
    </row>
    <row r="100" customFormat="false" ht="15" hidden="false" customHeight="false" outlineLevel="0" collapsed="false">
      <c r="A100" s="20" t="n">
        <v>32</v>
      </c>
      <c r="B100" s="21" t="s">
        <v>56</v>
      </c>
      <c r="C100" s="20" t="n">
        <v>2</v>
      </c>
    </row>
    <row r="101" customFormat="false" ht="15" hidden="false" customHeight="false" outlineLevel="0" collapsed="false">
      <c r="A101" s="22" t="n">
        <v>32</v>
      </c>
      <c r="B101" s="23" t="s">
        <v>41</v>
      </c>
      <c r="C101" s="22" t="n">
        <v>2</v>
      </c>
    </row>
    <row r="102" customFormat="false" ht="15" hidden="false" customHeight="false" outlineLevel="0" collapsed="false">
      <c r="A102" s="20" t="n">
        <v>32</v>
      </c>
      <c r="B102" s="21" t="s">
        <v>49</v>
      </c>
      <c r="C102" s="20" t="n">
        <v>1</v>
      </c>
    </row>
    <row r="103" customFormat="false" ht="15" hidden="false" customHeight="false" outlineLevel="0" collapsed="false">
      <c r="A103" s="22" t="n">
        <v>32</v>
      </c>
      <c r="B103" s="23" t="s">
        <v>57</v>
      </c>
      <c r="C103" s="22" t="n">
        <v>2</v>
      </c>
    </row>
    <row r="104" customFormat="false" ht="15" hidden="false" customHeight="false" outlineLevel="0" collapsed="false">
      <c r="A104" s="20" t="n">
        <v>33</v>
      </c>
      <c r="B104" s="21" t="s">
        <v>54</v>
      </c>
      <c r="C104" s="20" t="n">
        <v>1</v>
      </c>
    </row>
    <row r="105" customFormat="false" ht="15" hidden="false" customHeight="false" outlineLevel="0" collapsed="false">
      <c r="A105" s="22" t="n">
        <v>34</v>
      </c>
      <c r="B105" s="23" t="s">
        <v>74</v>
      </c>
      <c r="C105" s="22" t="n">
        <v>1</v>
      </c>
    </row>
    <row r="106" customFormat="false" ht="15" hidden="false" customHeight="false" outlineLevel="0" collapsed="false">
      <c r="A106" s="20" t="n">
        <v>34</v>
      </c>
      <c r="B106" s="21" t="s">
        <v>39</v>
      </c>
      <c r="C106" s="20" t="n">
        <v>5</v>
      </c>
    </row>
    <row r="107" customFormat="false" ht="15" hidden="false" customHeight="false" outlineLevel="0" collapsed="false">
      <c r="A107" s="22" t="n">
        <v>34</v>
      </c>
      <c r="B107" s="23" t="s">
        <v>54</v>
      </c>
      <c r="C107" s="22" t="n">
        <v>1</v>
      </c>
    </row>
    <row r="108" customFormat="false" ht="15" hidden="false" customHeight="false" outlineLevel="0" collapsed="false">
      <c r="A108" s="20" t="n">
        <v>34</v>
      </c>
      <c r="B108" s="21" t="s">
        <v>43</v>
      </c>
      <c r="C108" s="20" t="n">
        <v>2</v>
      </c>
    </row>
    <row r="109" customFormat="false" ht="15" hidden="false" customHeight="false" outlineLevel="0" collapsed="false">
      <c r="A109" s="22" t="n">
        <v>35</v>
      </c>
      <c r="B109" s="23" t="s">
        <v>54</v>
      </c>
      <c r="C109" s="22" t="n">
        <v>1</v>
      </c>
    </row>
    <row r="110" customFormat="false" ht="15" hidden="false" customHeight="false" outlineLevel="0" collapsed="false">
      <c r="A110" s="20" t="n">
        <v>35</v>
      </c>
      <c r="B110" s="21" t="s">
        <v>43</v>
      </c>
      <c r="C110" s="20" t="n">
        <v>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24" hidden="false" customHeight="true" outlineLevel="0" collapsed="false">
      <c r="A1" s="18" t="s">
        <v>75</v>
      </c>
      <c r="B1" s="18"/>
      <c r="C1" s="18"/>
    </row>
    <row r="3" customFormat="false" ht="15" hidden="false" customHeight="false" outlineLevel="0" collapsed="false">
      <c r="A3" s="19" t="s">
        <v>72</v>
      </c>
      <c r="B3" s="19" t="s">
        <v>76</v>
      </c>
    </row>
    <row r="4" customFormat="false" ht="15" hidden="false" customHeight="false" outlineLevel="0" collapsed="false">
      <c r="A4" s="21" t="s">
        <v>56</v>
      </c>
      <c r="B4" s="20" t="n">
        <f aca="false">SUMIF('Goal Log'!$B$4:$B$110,A4,'Goal Log'!$C$4:$C$110)</f>
        <v>32</v>
      </c>
    </row>
    <row r="5" customFormat="false" ht="15" hidden="false" customHeight="false" outlineLevel="0" collapsed="false">
      <c r="A5" s="23" t="s">
        <v>43</v>
      </c>
      <c r="B5" s="22" t="n">
        <f aca="false">SUMIF('Goal Log'!$B$4:$B$110,A5,'Goal Log'!$C$4:$C$110)</f>
        <v>28</v>
      </c>
    </row>
    <row r="6" customFormat="false" ht="15" hidden="false" customHeight="false" outlineLevel="0" collapsed="false">
      <c r="A6" s="21" t="s">
        <v>39</v>
      </c>
      <c r="B6" s="20" t="n">
        <f aca="false">SUMIF('Goal Log'!$B$4:$B$110,A6,'Goal Log'!$C$4:$C$110)</f>
        <v>21</v>
      </c>
    </row>
    <row r="7" customFormat="false" ht="15" hidden="false" customHeight="false" outlineLevel="0" collapsed="false">
      <c r="A7" s="23" t="s">
        <v>41</v>
      </c>
      <c r="B7" s="22" t="n">
        <f aca="false">SUMIF('Goal Log'!$B$4:$B$110,A7,'Goal Log'!$C$4:$C$110)</f>
        <v>20</v>
      </c>
    </row>
    <row r="8" customFormat="false" ht="15" hidden="false" customHeight="false" outlineLevel="0" collapsed="false">
      <c r="A8" s="21" t="s">
        <v>54</v>
      </c>
      <c r="B8" s="20" t="n">
        <f aca="false">SUMIF('Goal Log'!$B$4:$B$110,A8,'Goal Log'!$C$4:$C$110)</f>
        <v>15</v>
      </c>
    </row>
    <row r="9" customFormat="false" ht="15" hidden="false" customHeight="false" outlineLevel="0" collapsed="false">
      <c r="A9" s="23" t="s">
        <v>49</v>
      </c>
      <c r="B9" s="22" t="n">
        <f aca="false">SUMIF('Goal Log'!$B$4:$B$110,A9,'Goal Log'!$C$4:$C$110)</f>
        <v>8</v>
      </c>
    </row>
    <row r="10" customFormat="false" ht="15" hidden="false" customHeight="false" outlineLevel="0" collapsed="false">
      <c r="A10" s="21" t="s">
        <v>57</v>
      </c>
      <c r="B10" s="20" t="n">
        <f aca="false">SUMIF('Goal Log'!$B$4:$B$110,A10,'Goal Log'!$C$4:$C$110)</f>
        <v>5</v>
      </c>
    </row>
    <row r="11" customFormat="false" ht="15" hidden="false" customHeight="false" outlineLevel="0" collapsed="false">
      <c r="A11" s="23" t="s">
        <v>52</v>
      </c>
      <c r="B11" s="22" t="n">
        <f aca="false">SUMIF('Goal Log'!$B$4:$B$110,A11,'Goal Log'!$C$4:$C$110)</f>
        <v>4</v>
      </c>
    </row>
    <row r="12" customFormat="false" ht="15" hidden="false" customHeight="false" outlineLevel="0" collapsed="false">
      <c r="A12" s="21" t="s">
        <v>59</v>
      </c>
      <c r="B12" s="20" t="n">
        <f aca="false">SUMIF('Goal Log'!$B$4:$B$110,A12,'Goal Log'!$C$4:$C$110)</f>
        <v>3</v>
      </c>
    </row>
    <row r="13" customFormat="false" ht="15" hidden="false" customHeight="false" outlineLevel="0" collapsed="false">
      <c r="A13" s="23" t="s">
        <v>61</v>
      </c>
      <c r="B13" s="22" t="n">
        <f aca="false">SUMIF('Goal Log'!$B$4:$B$110,A13,'Goal Log'!$C$4:$C$110)</f>
        <v>2</v>
      </c>
    </row>
    <row r="14" customFormat="false" ht="15" hidden="false" customHeight="false" outlineLevel="0" collapsed="false">
      <c r="A14" s="21" t="s">
        <v>77</v>
      </c>
      <c r="B14" s="20" t="n">
        <f aca="false">SUMIF('Goal Log'!$B$4:$B$110,"Own Goal (opp.)",'Goal Log'!$C$4:$C$110)</f>
        <v>4</v>
      </c>
    </row>
    <row r="15" customFormat="false" ht="15" hidden="false" customHeight="false" outlineLevel="0" collapsed="false">
      <c r="A15" s="24" t="s">
        <v>78</v>
      </c>
      <c r="B15" s="25" t="n">
        <f aca="false">SUM(B4:B14)</f>
        <v>142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</cols>
  <sheetData>
    <row r="1" customFormat="false" ht="24" hidden="false" customHeight="true" outlineLevel="0" collapsed="false">
      <c r="A1" s="18" t="s">
        <v>79</v>
      </c>
      <c r="B1" s="18"/>
      <c r="C1" s="18"/>
    </row>
    <row r="3" customFormat="false" ht="15" hidden="false" customHeight="false" outlineLevel="0" collapsed="false">
      <c r="A3" s="19" t="s">
        <v>72</v>
      </c>
      <c r="B3" s="19" t="s">
        <v>80</v>
      </c>
      <c r="C3" s="19" t="s">
        <v>81</v>
      </c>
    </row>
    <row r="4" customFormat="false" ht="15" hidden="false" customHeight="false" outlineLevel="0" collapsed="false">
      <c r="A4" s="21" t="s">
        <v>54</v>
      </c>
      <c r="B4" s="20" t="n">
        <f aca="false">COUNTIF(Matches!$K$4:$K$38,A4)</f>
        <v>6</v>
      </c>
      <c r="C4" s="20" t="n">
        <f aca="false">COUNTIF(Matches!$L$4:$L$38,A4)</f>
        <v>1</v>
      </c>
    </row>
    <row r="5" customFormat="false" ht="15" hidden="false" customHeight="false" outlineLevel="0" collapsed="false">
      <c r="A5" s="23" t="s">
        <v>41</v>
      </c>
      <c r="B5" s="22" t="n">
        <f aca="false">COUNTIF(Matches!$K$4:$K$38,A5)</f>
        <v>4</v>
      </c>
      <c r="C5" s="22" t="n">
        <f aca="false">COUNTIF(Matches!$L$4:$L$38,A5)</f>
        <v>3</v>
      </c>
    </row>
    <row r="6" customFormat="false" ht="15" hidden="false" customHeight="false" outlineLevel="0" collapsed="false">
      <c r="A6" s="21" t="s">
        <v>49</v>
      </c>
      <c r="B6" s="20" t="n">
        <f aca="false">COUNTIF(Matches!$K$4:$K$38,A6)</f>
        <v>4</v>
      </c>
      <c r="C6" s="20" t="n">
        <f aca="false">COUNTIF(Matches!$L$4:$L$38,A6)</f>
        <v>0</v>
      </c>
    </row>
    <row r="7" customFormat="false" ht="15" hidden="false" customHeight="false" outlineLevel="0" collapsed="false">
      <c r="A7" s="23" t="s">
        <v>59</v>
      </c>
      <c r="B7" s="22" t="n">
        <f aca="false">COUNTIF(Matches!$K$4:$K$38,A7)</f>
        <v>4</v>
      </c>
      <c r="C7" s="22" t="n">
        <f aca="false">COUNTIF(Matches!$L$4:$L$38,A7)</f>
        <v>3</v>
      </c>
    </row>
    <row r="8" customFormat="false" ht="15" hidden="false" customHeight="false" outlineLevel="0" collapsed="false">
      <c r="A8" s="21" t="s">
        <v>56</v>
      </c>
      <c r="B8" s="20" t="n">
        <f aca="false">COUNTIF(Matches!$K$4:$K$38,A8)</f>
        <v>3</v>
      </c>
      <c r="C8" s="20" t="n">
        <f aca="false">COUNTIF(Matches!$L$4:$L$38,A8)</f>
        <v>5</v>
      </c>
    </row>
    <row r="9" customFormat="false" ht="15" hidden="false" customHeight="false" outlineLevel="0" collapsed="false">
      <c r="A9" s="23" t="s">
        <v>43</v>
      </c>
      <c r="B9" s="22" t="n">
        <f aca="false">COUNTIF(Matches!$K$4:$K$38,A9)</f>
        <v>3</v>
      </c>
      <c r="C9" s="22" t="n">
        <f aca="false">COUNTIF(Matches!$L$4:$L$38,A9)</f>
        <v>2</v>
      </c>
    </row>
    <row r="10" customFormat="false" ht="15" hidden="false" customHeight="false" outlineLevel="0" collapsed="false">
      <c r="A10" s="21" t="s">
        <v>57</v>
      </c>
      <c r="B10" s="20" t="n">
        <f aca="false">COUNTIF(Matches!$K$4:$K$38,A10)</f>
        <v>3</v>
      </c>
      <c r="C10" s="20" t="n">
        <f aca="false">COUNTIF(Matches!$L$4:$L$38,A10)</f>
        <v>2</v>
      </c>
    </row>
    <row r="11" customFormat="false" ht="15" hidden="false" customHeight="false" outlineLevel="0" collapsed="false">
      <c r="A11" s="23" t="s">
        <v>52</v>
      </c>
      <c r="B11" s="22" t="n">
        <f aca="false">COUNTIF(Matches!$K$4:$K$38,A11)</f>
        <v>3</v>
      </c>
      <c r="C11" s="22" t="n">
        <f aca="false">COUNTIF(Matches!$L$4:$L$38,A11)</f>
        <v>2</v>
      </c>
    </row>
    <row r="12" customFormat="false" ht="15" hidden="false" customHeight="false" outlineLevel="0" collapsed="false">
      <c r="A12" s="21" t="s">
        <v>39</v>
      </c>
      <c r="B12" s="20" t="n">
        <f aca="false">COUNTIF(Matches!$K$4:$K$38,A12)</f>
        <v>2</v>
      </c>
      <c r="C12" s="20" t="n">
        <f aca="false">COUNTIF(Matches!$L$4:$L$38,A12)</f>
        <v>2</v>
      </c>
    </row>
    <row r="13" customFormat="false" ht="15" hidden="false" customHeight="false" outlineLevel="0" collapsed="false">
      <c r="A13" s="23" t="s">
        <v>61</v>
      </c>
      <c r="B13" s="22" t="n">
        <f aca="false">COUNTIF(Matches!$K$4:$K$38,A13)</f>
        <v>2</v>
      </c>
      <c r="C13" s="22" t="n">
        <f aca="false">COUNTIF(Matches!$L$4:$L$38,A13)</f>
        <v>3</v>
      </c>
    </row>
    <row r="14" customFormat="false" ht="15" hidden="false" customHeight="false" outlineLevel="0" collapsed="false">
      <c r="A14" s="21" t="s">
        <v>45</v>
      </c>
      <c r="B14" s="20" t="n">
        <f aca="false">COUNTIF(Matches!$K$4:$K$38,A14)</f>
        <v>1</v>
      </c>
      <c r="C14" s="20" t="n">
        <f aca="false">COUNTIF(Matches!$L$4:$L$38,A14)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</cols>
  <sheetData>
    <row r="1" customFormat="false" ht="25.5" hidden="false" customHeight="true" outlineLevel="0" collapsed="false">
      <c r="A1" s="18" t="s">
        <v>82</v>
      </c>
      <c r="B1" s="18"/>
    </row>
    <row r="3" customFormat="false" ht="15" hidden="false" customHeight="false" outlineLevel="0" collapsed="false">
      <c r="A3" s="26" t="s">
        <v>83</v>
      </c>
      <c r="B3" s="20" t="n">
        <f aca="false">COUNTA(Matches!$H$4:$H$38)</f>
        <v>35</v>
      </c>
    </row>
    <row r="4" customFormat="false" ht="15" hidden="false" customHeight="false" outlineLevel="0" collapsed="false">
      <c r="A4" s="27" t="s">
        <v>84</v>
      </c>
      <c r="B4" s="22" t="n">
        <f aca="false">COUNTIF(Matches!$H$4:$H$38,"W")</f>
        <v>22</v>
      </c>
    </row>
    <row r="5" customFormat="false" ht="15" hidden="false" customHeight="false" outlineLevel="0" collapsed="false">
      <c r="A5" s="26" t="s">
        <v>85</v>
      </c>
      <c r="B5" s="20" t="n">
        <f aca="false">COUNTIF(Matches!$H$4:$H$38,"D")</f>
        <v>5</v>
      </c>
    </row>
    <row r="6" customFormat="false" ht="15" hidden="false" customHeight="false" outlineLevel="0" collapsed="false">
      <c r="A6" s="27" t="s">
        <v>86</v>
      </c>
      <c r="B6" s="22" t="n">
        <f aca="false">COUNTIF(Matches!$H$4:$H$38,"L")</f>
        <v>8</v>
      </c>
    </row>
    <row r="7" customFormat="false" ht="15" hidden="false" customHeight="false" outlineLevel="0" collapsed="false">
      <c r="A7" s="26" t="s">
        <v>87</v>
      </c>
      <c r="B7" s="20" t="n">
        <f aca="false">SUM(Matches!$I$4:$I$38)</f>
        <v>142</v>
      </c>
    </row>
    <row r="8" customFormat="false" ht="15" hidden="false" customHeight="false" outlineLevel="0" collapsed="false">
      <c r="A8" s="27" t="s">
        <v>88</v>
      </c>
      <c r="B8" s="22" t="n">
        <f aca="false">SUM(Matches!$J$4:$J$38)</f>
        <v>85</v>
      </c>
    </row>
    <row r="9" customFormat="false" ht="15" hidden="false" customHeight="false" outlineLevel="0" collapsed="false">
      <c r="A9" s="26" t="s">
        <v>89</v>
      </c>
      <c r="B9" s="20" t="n">
        <f aca="false">B7-B8</f>
        <v>57</v>
      </c>
    </row>
    <row r="10" customFormat="false" ht="15" hidden="false" customHeight="false" outlineLevel="0" collapsed="false">
      <c r="A10" s="27" t="s">
        <v>90</v>
      </c>
      <c r="B10" s="28" t="n">
        <f aca="false">B4/B3</f>
        <v>0.628571428571429</v>
      </c>
    </row>
    <row r="12" customFormat="false" ht="15" hidden="false" customHeight="false" outlineLevel="0" collapsed="false">
      <c r="A12" s="29" t="s">
        <v>91</v>
      </c>
      <c r="B12" s="20" t="str">
        <f aca="false">INDEX('Top Scorers'!$A$4:$A$13,MATCH(MAX('Top Scorers'!$B$4:$B$13),'Top Scorers'!$B$4:$B$13,0))</f>
        <v>Alex</v>
      </c>
    </row>
    <row r="13" customFormat="false" ht="15" hidden="false" customHeight="false" outlineLevel="0" collapsed="false">
      <c r="A13" s="29" t="s">
        <v>92</v>
      </c>
      <c r="B13" s="20" t="n">
        <f aca="false">MAX('Top Scorers'!$B$4:$B$13)</f>
        <v>32</v>
      </c>
    </row>
    <row r="14" customFormat="false" ht="15" hidden="false" customHeight="false" outlineLevel="0" collapsed="false">
      <c r="A14" s="29" t="s">
        <v>93</v>
      </c>
      <c r="B14" s="20" t="str">
        <f aca="false">INDEX(Awards!$A$4:$A$14,MATCH(MAX(Awards!$B$4:$B$14),Awards!$B$4:$B$14,0))</f>
        <v>Olly</v>
      </c>
    </row>
    <row r="15" customFormat="false" ht="15" hidden="false" customHeight="false" outlineLevel="0" collapsed="false">
      <c r="A15" s="29" t="s">
        <v>94</v>
      </c>
      <c r="B15" s="20" t="n">
        <f aca="false">MAX(Awards!$B$4:$B$14)</f>
        <v>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95</v>
      </c>
      <c r="B1" s="0" t="s">
        <v>96</v>
      </c>
    </row>
    <row r="2" customFormat="false" ht="15" hidden="false" customHeight="false" outlineLevel="0" collapsed="false">
      <c r="A2" s="0" t="s">
        <v>97</v>
      </c>
      <c r="B2" s="0" t="n">
        <f aca="false">'Season Summary'!B4</f>
        <v>22</v>
      </c>
    </row>
    <row r="3" customFormat="false" ht="15" hidden="false" customHeight="false" outlineLevel="0" collapsed="false">
      <c r="A3" s="0" t="s">
        <v>98</v>
      </c>
      <c r="B3" s="0" t="n">
        <f aca="false">'Season Summary'!B5</f>
        <v>5</v>
      </c>
    </row>
    <row r="4" customFormat="false" ht="15" hidden="false" customHeight="false" outlineLevel="0" collapsed="false">
      <c r="A4" s="0" t="s">
        <v>99</v>
      </c>
      <c r="B4" s="0" t="n">
        <f aca="false">'Season Summary'!B6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5"/>
  </cols>
  <sheetData>
    <row r="1" customFormat="false" ht="25.5" hidden="false" customHeight="true" outlineLevel="0" collapsed="false">
      <c r="A1" s="18" t="s">
        <v>100</v>
      </c>
      <c r="B1" s="18"/>
      <c r="C1" s="18"/>
    </row>
    <row r="3" customFormat="false" ht="24" hidden="false" customHeight="true" outlineLevel="0" collapsed="false">
      <c r="A3" s="30" t="s">
        <v>101</v>
      </c>
      <c r="B3" s="26" t="s">
        <v>102</v>
      </c>
      <c r="C3" s="21" t="str">
        <f aca="false">CONCATENATE("Beat ",INDEX(Matches!$O$4:$O$38,MATCH(MAX(Matches!$Q$4:$Q$38),Matches!$Q$4:$Q$38,0))," ",INDEX(Matches!$I$4:$I$38,MATCH(MAX(Matches!$Q$4:$Q$38),Matches!$Q$4:$Q$38,0)),"-",INDEX(Matches!$J$4:$J$38,MATCH(MAX(Matches!$Q$4:$Q$38),Matches!$Q$4:$Q$38,0)),"  (won by ",MAX(Matches!$Q$4:$Q$38)," goals)")</f>
        <v>Beat Heswall 7-0  (won by 7 goals)</v>
      </c>
    </row>
    <row r="4" customFormat="false" ht="24" hidden="false" customHeight="true" outlineLevel="0" collapsed="false">
      <c r="A4" s="31" t="s">
        <v>103</v>
      </c>
      <c r="B4" s="27" t="s">
        <v>104</v>
      </c>
      <c r="C4" s="23" t="str">
        <f aca="false">CONCATENATE("Lost to ",INDEX(Matches!$O$4:$O$38,MATCH(MAX(Matches!$R$4:$R$38),Matches!$R$4:$R$38,0))," ",INDEX(Matches!$I$4:$I$38,MATCH(MAX(Matches!$R$4:$R$38),Matches!$R$4:$R$38,0)),"-",INDEX(Matches!$J$4:$J$38,MATCH(MAX(Matches!$R$4:$R$38),Matches!$R$4:$R$38,0)))</f>
        <v>Lost to Victoria Colts 1-5</v>
      </c>
    </row>
    <row r="5" customFormat="false" ht="24" hidden="false" customHeight="true" outlineLevel="0" collapsed="false">
      <c r="A5" s="30" t="s">
        <v>105</v>
      </c>
      <c r="B5" s="26" t="s">
        <v>106</v>
      </c>
      <c r="C5" s="21" t="str">
        <f aca="false">CONCATENATE(INDEX(Matches!$O$4:$O$38,MATCH(MAX(Matches!$P$4:$P$38),Matches!$P$4:$P$38,0))," — ",INDEX(Matches!$I$4:$I$38,MATCH(MAX(Matches!$P$4:$P$38),Matches!$P$4:$P$38,0)),"-",INDEX(Matches!$J$4:$J$38,MATCH(MAX(Matches!$P$4:$P$38),Matches!$P$4:$P$38,0)),"  (",MAX(Matches!$P$4:$P$38)," goals in total)")</f>
        <v>Moreton Peru — 6-6  (12 goals in total)</v>
      </c>
    </row>
    <row r="6" customFormat="false" ht="24" hidden="false" customHeight="true" outlineLevel="0" collapsed="false">
      <c r="A6" s="31" t="s">
        <v>107</v>
      </c>
      <c r="B6" s="27" t="s">
        <v>108</v>
      </c>
      <c r="C6" s="23" t="str">
        <f aca="false">CONCATENATE(MAX(Matches!$S$4:$S$38)," matches in a row")</f>
        <v>5 matches in a row</v>
      </c>
    </row>
    <row r="7" customFormat="false" ht="24" hidden="false" customHeight="true" outlineLevel="0" collapsed="false">
      <c r="A7" s="30" t="s">
        <v>109</v>
      </c>
      <c r="B7" s="26" t="s">
        <v>110</v>
      </c>
      <c r="C7" s="21" t="str">
        <f aca="false">CONCATENATE(MAX(Matches!$T$4:$T$38)," matches unbeaten")</f>
        <v>9 matches unbeaten</v>
      </c>
    </row>
    <row r="8" customFormat="false" ht="24" hidden="false" customHeight="true" outlineLevel="0" collapsed="false">
      <c r="A8" s="31" t="s">
        <v>111</v>
      </c>
      <c r="B8" s="27" t="s">
        <v>112</v>
      </c>
      <c r="C8" s="23" t="str">
        <f aca="false">CONCATENATE(INDEX('Goal Log'!$B$4:$B$110,MATCH(MAX('Goal Log'!$C$4:$C$110),'Goal Log'!$C$4:$C$110,0))," scored ",MAX('Goal Log'!$C$4:$C$110)," in one match (vs ",INDEX(Matches!$O$4:$O$38,MATCH(INDEX('Goal Log'!$A$4:$A$110,MATCH(MAX('Goal Log'!$C$4:$C$110),'Goal Log'!$C$4:$C$110,0)),Matches!$A$4:$A$38,0)),")")</f>
        <v>Harry scored 5 in one match (vs West Kirby)</v>
      </c>
    </row>
    <row r="9" customFormat="false" ht="24" hidden="false" customHeight="true" outlineLevel="0" collapsed="false">
      <c r="A9" s="30" t="s">
        <v>113</v>
      </c>
      <c r="B9" s="26" t="s">
        <v>114</v>
      </c>
      <c r="C9" s="21" t="n">
        <f aca="false">COUNTIF('Goal Log'!$C$4:$C$110,"&gt;=3")</f>
        <v>4</v>
      </c>
    </row>
    <row r="10" customFormat="false" ht="24" hidden="false" customHeight="true" outlineLevel="0" collapsed="false">
      <c r="A10" s="31" t="s">
        <v>115</v>
      </c>
      <c r="B10" s="27" t="s">
        <v>116</v>
      </c>
      <c r="C10" s="23" t="str">
        <f aca="false">CONCATENATE(INDEX('Goal Log'!$B$4:$B$110,MATCH(1,'Goal Log'!$A$4:$A$110,0))," vs ",INDEX(Matches!$O$4:$O$38,MATCH(1,Matches!$A$4:$A$38,0)))</f>
        <v>Noah vs Oldershaw Dynamos</v>
      </c>
    </row>
    <row r="11" customFormat="false" ht="24" hidden="false" customHeight="true" outlineLevel="0" collapsed="false">
      <c r="A11" s="30" t="s">
        <v>101</v>
      </c>
      <c r="B11" s="26" t="s">
        <v>117</v>
      </c>
      <c r="C11" s="21" t="str">
        <f aca="false">CONCATENATE("Beat ",Matches!$O$38," ",Matches!$I$38,"-",Matches!$J$38,"  (MOTM: ",Matches!$K$38,", GOTW: ",Matches!$L$38,")")</f>
        <v>Beat Neston Nomads Raiders 2-0  (MOTM: Sam, GOTW: Alex)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M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1"/>
  </cols>
  <sheetData>
    <row r="1" customFormat="false" ht="25.5" hidden="false" customHeight="true" outlineLevel="0" collapsed="false">
      <c r="A1" s="18" t="s">
        <v>118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3" customFormat="false" ht="16.15" hidden="false" customHeight="false" outlineLevel="0" collapsed="false">
      <c r="A3" s="32" t="s">
        <v>56</v>
      </c>
      <c r="B3" s="32"/>
      <c r="C3" s="32"/>
      <c r="D3" s="32"/>
      <c r="E3" s="32"/>
      <c r="F3" s="32"/>
      <c r="H3" s="32" t="s">
        <v>43</v>
      </c>
      <c r="I3" s="32"/>
      <c r="J3" s="32"/>
      <c r="K3" s="32"/>
      <c r="L3" s="32"/>
      <c r="M3" s="32"/>
    </row>
    <row r="4" customFormat="false" ht="15" hidden="false" customHeight="false" outlineLevel="0" collapsed="false">
      <c r="A4" s="23" t="s">
        <v>87</v>
      </c>
      <c r="B4" s="23"/>
      <c r="C4" s="23"/>
      <c r="D4" s="23"/>
      <c r="E4" s="25" t="n">
        <f aca="false">SUMIF('Goal Log'!$B$4:$B$110,"Alex",'Goal Log'!$C$4:$C$110)</f>
        <v>32</v>
      </c>
      <c r="F4" s="25"/>
      <c r="H4" s="23" t="s">
        <v>87</v>
      </c>
      <c r="I4" s="23"/>
      <c r="J4" s="23"/>
      <c r="K4" s="23"/>
      <c r="L4" s="25" t="n">
        <f aca="false">SUMIF('Goal Log'!$B$4:$B$110,"Freddie",'Goal Log'!$C$4:$C$110)</f>
        <v>28</v>
      </c>
      <c r="M4" s="25"/>
    </row>
    <row r="5" customFormat="false" ht="15" hidden="false" customHeight="false" outlineLevel="0" collapsed="false">
      <c r="A5" s="21" t="s">
        <v>119</v>
      </c>
      <c r="B5" s="21"/>
      <c r="C5" s="21"/>
      <c r="D5" s="21"/>
      <c r="E5" s="33" t="n">
        <f aca="false">COUNTIF(Matches!$K$4:$K$38,"Alex")</f>
        <v>3</v>
      </c>
      <c r="F5" s="33"/>
      <c r="H5" s="21" t="s">
        <v>119</v>
      </c>
      <c r="I5" s="21"/>
      <c r="J5" s="21"/>
      <c r="K5" s="21"/>
      <c r="L5" s="33" t="n">
        <f aca="false">COUNTIF(Matches!$K$4:$K$38,"Freddie")</f>
        <v>3</v>
      </c>
      <c r="M5" s="33"/>
    </row>
    <row r="6" customFormat="false" ht="15" hidden="false" customHeight="false" outlineLevel="0" collapsed="false">
      <c r="A6" s="23" t="s">
        <v>120</v>
      </c>
      <c r="B6" s="23"/>
      <c r="C6" s="23"/>
      <c r="D6" s="23"/>
      <c r="E6" s="34" t="n">
        <f aca="false">COUNTIF(Matches!$L$4:$L$38,"Alex")</f>
        <v>5</v>
      </c>
      <c r="F6" s="34"/>
      <c r="H6" s="23" t="s">
        <v>120</v>
      </c>
      <c r="I6" s="23"/>
      <c r="J6" s="23"/>
      <c r="K6" s="23"/>
      <c r="L6" s="34" t="n">
        <f aca="false">COUNTIF(Matches!$L$4:$L$38,"Freddie")</f>
        <v>2</v>
      </c>
      <c r="M6" s="34"/>
    </row>
    <row r="7" customFormat="false" ht="15" hidden="false" customHeight="false" outlineLevel="0" collapsed="false">
      <c r="A7" s="21" t="s">
        <v>121</v>
      </c>
      <c r="B7" s="21"/>
      <c r="C7" s="21"/>
      <c r="D7" s="21"/>
      <c r="E7" s="33" t="n">
        <f aca="false">IFERROR(_xlfn.MAXIFS('Goal Log'!$C$4:$C$110,'Goal Log'!$B$4:$B$110,"Alex"),0)</f>
        <v>3</v>
      </c>
      <c r="F7" s="33"/>
      <c r="H7" s="21" t="s">
        <v>121</v>
      </c>
      <c r="I7" s="21"/>
      <c r="J7" s="21"/>
      <c r="K7" s="21"/>
      <c r="L7" s="33" t="n">
        <f aca="false">IFERROR(_xlfn.MAXIFS('Goal Log'!$C$4:$C$110,'Goal Log'!$B$4:$B$110,"Freddie"),0)</f>
        <v>2</v>
      </c>
      <c r="M7" s="33"/>
    </row>
    <row r="8" customFormat="false" ht="15" hidden="false" customHeight="false" outlineLevel="0" collapsed="false">
      <c r="A8" s="23" t="s">
        <v>122</v>
      </c>
      <c r="B8" s="23"/>
      <c r="C8" s="23"/>
      <c r="D8" s="23"/>
      <c r="E8" s="34" t="n">
        <f aca="false">COUNTIF('Goal Log'!$B$4:$B$110,"Alex")</f>
        <v>20</v>
      </c>
      <c r="F8" s="34"/>
      <c r="H8" s="23" t="s">
        <v>122</v>
      </c>
      <c r="I8" s="23"/>
      <c r="J8" s="23"/>
      <c r="K8" s="23"/>
      <c r="L8" s="34" t="n">
        <f aca="false">COUNTIF('Goal Log'!$B$4:$B$110,"Freddie")</f>
        <v>21</v>
      </c>
      <c r="M8" s="34"/>
    </row>
    <row r="10" customFormat="false" ht="16.15" hidden="false" customHeight="false" outlineLevel="0" collapsed="false">
      <c r="A10" s="32" t="s">
        <v>39</v>
      </c>
      <c r="B10" s="32"/>
      <c r="C10" s="32"/>
      <c r="D10" s="32"/>
      <c r="E10" s="32"/>
      <c r="F10" s="32"/>
      <c r="H10" s="32" t="s">
        <v>41</v>
      </c>
      <c r="I10" s="32"/>
      <c r="J10" s="32"/>
      <c r="K10" s="32"/>
      <c r="L10" s="32"/>
      <c r="M10" s="32"/>
    </row>
    <row r="11" customFormat="false" ht="15" hidden="false" customHeight="false" outlineLevel="0" collapsed="false">
      <c r="A11" s="23" t="s">
        <v>87</v>
      </c>
      <c r="B11" s="23"/>
      <c r="C11" s="23"/>
      <c r="D11" s="23"/>
      <c r="E11" s="25" t="n">
        <f aca="false">SUMIF('Goal Log'!$B$4:$B$110,"Harry",'Goal Log'!$C$4:$C$110)</f>
        <v>21</v>
      </c>
      <c r="F11" s="25"/>
      <c r="H11" s="23" t="s">
        <v>87</v>
      </c>
      <c r="I11" s="23"/>
      <c r="J11" s="23"/>
      <c r="K11" s="23"/>
      <c r="L11" s="25" t="n">
        <f aca="false">SUMIF('Goal Log'!$B$4:$B$110,"Noah",'Goal Log'!$C$4:$C$110)</f>
        <v>20</v>
      </c>
      <c r="M11" s="25"/>
    </row>
    <row r="12" customFormat="false" ht="15" hidden="false" customHeight="false" outlineLevel="0" collapsed="false">
      <c r="A12" s="21" t="s">
        <v>119</v>
      </c>
      <c r="B12" s="21"/>
      <c r="C12" s="21"/>
      <c r="D12" s="21"/>
      <c r="E12" s="33" t="n">
        <f aca="false">COUNTIF(Matches!$K$4:$K$38,"Harry")</f>
        <v>2</v>
      </c>
      <c r="F12" s="33"/>
      <c r="H12" s="21" t="s">
        <v>119</v>
      </c>
      <c r="I12" s="21"/>
      <c r="J12" s="21"/>
      <c r="K12" s="21"/>
      <c r="L12" s="33" t="n">
        <f aca="false">COUNTIF(Matches!$K$4:$K$38,"Noah")</f>
        <v>4</v>
      </c>
      <c r="M12" s="33"/>
    </row>
    <row r="13" customFormat="false" ht="15" hidden="false" customHeight="false" outlineLevel="0" collapsed="false">
      <c r="A13" s="23" t="s">
        <v>120</v>
      </c>
      <c r="B13" s="23"/>
      <c r="C13" s="23"/>
      <c r="D13" s="23"/>
      <c r="E13" s="34" t="n">
        <f aca="false">COUNTIF(Matches!$L$4:$L$38,"Harry")</f>
        <v>2</v>
      </c>
      <c r="F13" s="34"/>
      <c r="H13" s="23" t="s">
        <v>120</v>
      </c>
      <c r="I13" s="23"/>
      <c r="J13" s="23"/>
      <c r="K13" s="23"/>
      <c r="L13" s="34" t="n">
        <f aca="false">COUNTIF(Matches!$L$4:$L$38,"Noah")</f>
        <v>3</v>
      </c>
      <c r="M13" s="34"/>
    </row>
    <row r="14" customFormat="false" ht="15" hidden="false" customHeight="false" outlineLevel="0" collapsed="false">
      <c r="A14" s="21" t="s">
        <v>121</v>
      </c>
      <c r="B14" s="21"/>
      <c r="C14" s="21"/>
      <c r="D14" s="21"/>
      <c r="E14" s="33" t="n">
        <f aca="false">IFERROR(_xlfn.MAXIFS('Goal Log'!$C$4:$C$110,'Goal Log'!$B$4:$B$110,"Harry"),0)</f>
        <v>5</v>
      </c>
      <c r="F14" s="33"/>
      <c r="H14" s="21" t="s">
        <v>121</v>
      </c>
      <c r="I14" s="21"/>
      <c r="J14" s="21"/>
      <c r="K14" s="21"/>
      <c r="L14" s="33" t="n">
        <f aca="false">IFERROR(_xlfn.MAXIFS('Goal Log'!$C$4:$C$110,'Goal Log'!$B$4:$B$110,"Noah"),0)</f>
        <v>2</v>
      </c>
      <c r="M14" s="33"/>
    </row>
    <row r="15" customFormat="false" ht="15" hidden="false" customHeight="false" outlineLevel="0" collapsed="false">
      <c r="A15" s="23" t="s">
        <v>122</v>
      </c>
      <c r="B15" s="23"/>
      <c r="C15" s="23"/>
      <c r="D15" s="23"/>
      <c r="E15" s="34" t="n">
        <f aca="false">COUNTIF('Goal Log'!$B$4:$B$110,"Harry")</f>
        <v>14</v>
      </c>
      <c r="F15" s="34"/>
      <c r="H15" s="23" t="s">
        <v>122</v>
      </c>
      <c r="I15" s="23"/>
      <c r="J15" s="23"/>
      <c r="K15" s="23"/>
      <c r="L15" s="34" t="n">
        <f aca="false">COUNTIF('Goal Log'!$B$4:$B$110,"Noah")</f>
        <v>14</v>
      </c>
      <c r="M15" s="34"/>
    </row>
    <row r="17" customFormat="false" ht="16.15" hidden="false" customHeight="false" outlineLevel="0" collapsed="false">
      <c r="A17" s="32" t="s">
        <v>54</v>
      </c>
      <c r="B17" s="32"/>
      <c r="C17" s="32"/>
      <c r="D17" s="32"/>
      <c r="E17" s="32"/>
      <c r="F17" s="32"/>
      <c r="H17" s="32" t="s">
        <v>49</v>
      </c>
      <c r="I17" s="32"/>
      <c r="J17" s="32"/>
      <c r="K17" s="32"/>
      <c r="L17" s="32"/>
      <c r="M17" s="32"/>
    </row>
    <row r="18" customFormat="false" ht="15" hidden="false" customHeight="false" outlineLevel="0" collapsed="false">
      <c r="A18" s="23" t="s">
        <v>87</v>
      </c>
      <c r="B18" s="23"/>
      <c r="C18" s="23"/>
      <c r="D18" s="23"/>
      <c r="E18" s="25" t="n">
        <f aca="false">SUMIF('Goal Log'!$B$4:$B$110,"Olly",'Goal Log'!$C$4:$C$110)</f>
        <v>15</v>
      </c>
      <c r="F18" s="25"/>
      <c r="H18" s="23" t="s">
        <v>87</v>
      </c>
      <c r="I18" s="23"/>
      <c r="J18" s="23"/>
      <c r="K18" s="23"/>
      <c r="L18" s="25" t="n">
        <f aca="false">SUMIF('Goal Log'!$B$4:$B$110,"Max",'Goal Log'!$C$4:$C$110)</f>
        <v>8</v>
      </c>
      <c r="M18" s="25"/>
    </row>
    <row r="19" customFormat="false" ht="15" hidden="false" customHeight="false" outlineLevel="0" collapsed="false">
      <c r="A19" s="21" t="s">
        <v>119</v>
      </c>
      <c r="B19" s="21"/>
      <c r="C19" s="21"/>
      <c r="D19" s="21"/>
      <c r="E19" s="33" t="n">
        <f aca="false">COUNTIF(Matches!$K$4:$K$38,"Olly")</f>
        <v>6</v>
      </c>
      <c r="F19" s="33"/>
      <c r="H19" s="21" t="s">
        <v>119</v>
      </c>
      <c r="I19" s="21"/>
      <c r="J19" s="21"/>
      <c r="K19" s="21"/>
      <c r="L19" s="33" t="n">
        <f aca="false">COUNTIF(Matches!$K$4:$K$38,"Max")</f>
        <v>4</v>
      </c>
      <c r="M19" s="33"/>
    </row>
    <row r="20" customFormat="false" ht="15" hidden="false" customHeight="false" outlineLevel="0" collapsed="false">
      <c r="A20" s="23" t="s">
        <v>120</v>
      </c>
      <c r="B20" s="23"/>
      <c r="C20" s="23"/>
      <c r="D20" s="23"/>
      <c r="E20" s="34" t="n">
        <f aca="false">COUNTIF(Matches!$L$4:$L$38,"Olly")</f>
        <v>1</v>
      </c>
      <c r="F20" s="34"/>
      <c r="H20" s="23" t="s">
        <v>120</v>
      </c>
      <c r="I20" s="23"/>
      <c r="J20" s="23"/>
      <c r="K20" s="23"/>
      <c r="L20" s="34" t="n">
        <f aca="false">COUNTIF(Matches!$L$4:$L$38,"Max")</f>
        <v>0</v>
      </c>
      <c r="M20" s="34"/>
    </row>
    <row r="21" customFormat="false" ht="15" hidden="false" customHeight="false" outlineLevel="0" collapsed="false">
      <c r="A21" s="21" t="s">
        <v>121</v>
      </c>
      <c r="B21" s="21"/>
      <c r="C21" s="21"/>
      <c r="D21" s="21"/>
      <c r="E21" s="33" t="n">
        <f aca="false">IFERROR(_xlfn.MAXIFS('Goal Log'!$C$4:$C$110,'Goal Log'!$B$4:$B$110,"Olly"),0)</f>
        <v>2</v>
      </c>
      <c r="F21" s="33"/>
      <c r="H21" s="21" t="s">
        <v>121</v>
      </c>
      <c r="I21" s="21"/>
      <c r="J21" s="21"/>
      <c r="K21" s="21"/>
      <c r="L21" s="33" t="n">
        <f aca="false">IFERROR(_xlfn.MAXIFS('Goal Log'!$C$4:$C$110,'Goal Log'!$B$4:$B$110,"Max"),0)</f>
        <v>2</v>
      </c>
      <c r="M21" s="33"/>
    </row>
    <row r="22" customFormat="false" ht="15" hidden="false" customHeight="false" outlineLevel="0" collapsed="false">
      <c r="A22" s="23" t="s">
        <v>122</v>
      </c>
      <c r="B22" s="23"/>
      <c r="C22" s="23"/>
      <c r="D22" s="23"/>
      <c r="E22" s="34" t="n">
        <f aca="false">COUNTIF('Goal Log'!$B$4:$B$110,"Olly")</f>
        <v>14</v>
      </c>
      <c r="F22" s="34"/>
      <c r="H22" s="23" t="s">
        <v>122</v>
      </c>
      <c r="I22" s="23"/>
      <c r="J22" s="23"/>
      <c r="K22" s="23"/>
      <c r="L22" s="34" t="n">
        <f aca="false">COUNTIF('Goal Log'!$B$4:$B$110,"Max")</f>
        <v>7</v>
      </c>
      <c r="M22" s="34"/>
    </row>
    <row r="24" customFormat="false" ht="16.15" hidden="false" customHeight="false" outlineLevel="0" collapsed="false">
      <c r="A24" s="32" t="s">
        <v>57</v>
      </c>
      <c r="B24" s="32"/>
      <c r="C24" s="32"/>
      <c r="D24" s="32"/>
      <c r="E24" s="32"/>
      <c r="F24" s="32"/>
      <c r="H24" s="32" t="s">
        <v>52</v>
      </c>
      <c r="I24" s="32"/>
      <c r="J24" s="32"/>
      <c r="K24" s="32"/>
      <c r="L24" s="32"/>
      <c r="M24" s="32"/>
    </row>
    <row r="25" customFormat="false" ht="15" hidden="false" customHeight="false" outlineLevel="0" collapsed="false">
      <c r="A25" s="23" t="s">
        <v>87</v>
      </c>
      <c r="B25" s="23"/>
      <c r="C25" s="23"/>
      <c r="D25" s="23"/>
      <c r="E25" s="25" t="n">
        <f aca="false">SUMIF('Goal Log'!$B$4:$B$110,"Will",'Goal Log'!$C$4:$C$110)</f>
        <v>5</v>
      </c>
      <c r="F25" s="25"/>
      <c r="H25" s="23" t="s">
        <v>87</v>
      </c>
      <c r="I25" s="23"/>
      <c r="J25" s="23"/>
      <c r="K25" s="23"/>
      <c r="L25" s="25" t="n">
        <f aca="false">SUMIF('Goal Log'!$B$4:$B$110,"Sam",'Goal Log'!$C$4:$C$110)</f>
        <v>4</v>
      </c>
      <c r="M25" s="25"/>
    </row>
    <row r="26" customFormat="false" ht="15" hidden="false" customHeight="false" outlineLevel="0" collapsed="false">
      <c r="A26" s="21" t="s">
        <v>119</v>
      </c>
      <c r="B26" s="21"/>
      <c r="C26" s="21"/>
      <c r="D26" s="21"/>
      <c r="E26" s="33" t="n">
        <f aca="false">COUNTIF(Matches!$K$4:$K$38,"Will")</f>
        <v>3</v>
      </c>
      <c r="F26" s="33"/>
      <c r="H26" s="21" t="s">
        <v>119</v>
      </c>
      <c r="I26" s="21"/>
      <c r="J26" s="21"/>
      <c r="K26" s="21"/>
      <c r="L26" s="33" t="n">
        <f aca="false">COUNTIF(Matches!$K$4:$K$38,"Sam")</f>
        <v>3</v>
      </c>
      <c r="M26" s="33"/>
    </row>
    <row r="27" customFormat="false" ht="15" hidden="false" customHeight="false" outlineLevel="0" collapsed="false">
      <c r="A27" s="23" t="s">
        <v>120</v>
      </c>
      <c r="B27" s="23"/>
      <c r="C27" s="23"/>
      <c r="D27" s="23"/>
      <c r="E27" s="34" t="n">
        <f aca="false">COUNTIF(Matches!$L$4:$L$38,"Will")</f>
        <v>2</v>
      </c>
      <c r="F27" s="34"/>
      <c r="H27" s="23" t="s">
        <v>120</v>
      </c>
      <c r="I27" s="23"/>
      <c r="J27" s="23"/>
      <c r="K27" s="23"/>
      <c r="L27" s="34" t="n">
        <f aca="false">COUNTIF(Matches!$L$4:$L$38,"Sam")</f>
        <v>2</v>
      </c>
      <c r="M27" s="34"/>
    </row>
    <row r="28" customFormat="false" ht="15" hidden="false" customHeight="false" outlineLevel="0" collapsed="false">
      <c r="A28" s="21" t="s">
        <v>121</v>
      </c>
      <c r="B28" s="21"/>
      <c r="C28" s="21"/>
      <c r="D28" s="21"/>
      <c r="E28" s="33" t="n">
        <f aca="false">IFERROR(_xlfn.MAXIFS('Goal Log'!$C$4:$C$110,'Goal Log'!$B$4:$B$110,"Will"),0)</f>
        <v>2</v>
      </c>
      <c r="F28" s="33"/>
      <c r="H28" s="21" t="s">
        <v>121</v>
      </c>
      <c r="I28" s="21"/>
      <c r="J28" s="21"/>
      <c r="K28" s="21"/>
      <c r="L28" s="33" t="n">
        <f aca="false">IFERROR(_xlfn.MAXIFS('Goal Log'!$C$4:$C$110,'Goal Log'!$B$4:$B$110,"Sam"),0)</f>
        <v>1</v>
      </c>
      <c r="M28" s="33"/>
    </row>
    <row r="29" customFormat="false" ht="15" hidden="false" customHeight="false" outlineLevel="0" collapsed="false">
      <c r="A29" s="23" t="s">
        <v>122</v>
      </c>
      <c r="B29" s="23"/>
      <c r="C29" s="23"/>
      <c r="D29" s="23"/>
      <c r="E29" s="34" t="n">
        <f aca="false">COUNTIF('Goal Log'!$B$4:$B$110,"Will")</f>
        <v>4</v>
      </c>
      <c r="F29" s="34"/>
      <c r="H29" s="23" t="s">
        <v>122</v>
      </c>
      <c r="I29" s="23"/>
      <c r="J29" s="23"/>
      <c r="K29" s="23"/>
      <c r="L29" s="34" t="n">
        <f aca="false">COUNTIF('Goal Log'!$B$4:$B$110,"Sam")</f>
        <v>4</v>
      </c>
      <c r="M29" s="34"/>
    </row>
    <row r="31" customFormat="false" ht="16.15" hidden="false" customHeight="false" outlineLevel="0" collapsed="false">
      <c r="A31" s="32" t="s">
        <v>59</v>
      </c>
      <c r="B31" s="32"/>
      <c r="C31" s="32"/>
      <c r="D31" s="32"/>
      <c r="E31" s="32"/>
      <c r="F31" s="32"/>
      <c r="H31" s="32" t="s">
        <v>61</v>
      </c>
      <c r="I31" s="32"/>
      <c r="J31" s="32"/>
      <c r="K31" s="32"/>
      <c r="L31" s="32"/>
      <c r="M31" s="32"/>
    </row>
    <row r="32" customFormat="false" ht="15" hidden="false" customHeight="false" outlineLevel="0" collapsed="false">
      <c r="A32" s="23" t="s">
        <v>87</v>
      </c>
      <c r="B32" s="23"/>
      <c r="C32" s="23"/>
      <c r="D32" s="23"/>
      <c r="E32" s="25" t="n">
        <f aca="false">SUMIF('Goal Log'!$B$4:$B$110,"Fredrick",'Goal Log'!$C$4:$C$110)</f>
        <v>3</v>
      </c>
      <c r="F32" s="25"/>
      <c r="H32" s="23" t="s">
        <v>87</v>
      </c>
      <c r="I32" s="23"/>
      <c r="J32" s="23"/>
      <c r="K32" s="23"/>
      <c r="L32" s="25" t="n">
        <f aca="false">SUMIF('Goal Log'!$B$4:$B$110,"Edward",'Goal Log'!$C$4:$C$110)</f>
        <v>2</v>
      </c>
      <c r="M32" s="25"/>
    </row>
    <row r="33" customFormat="false" ht="15" hidden="false" customHeight="false" outlineLevel="0" collapsed="false">
      <c r="A33" s="21" t="s">
        <v>119</v>
      </c>
      <c r="B33" s="21"/>
      <c r="C33" s="21"/>
      <c r="D33" s="21"/>
      <c r="E33" s="33" t="n">
        <f aca="false">COUNTIF(Matches!$K$4:$K$38,"Fredrick")</f>
        <v>4</v>
      </c>
      <c r="F33" s="33"/>
      <c r="H33" s="21" t="s">
        <v>119</v>
      </c>
      <c r="I33" s="21"/>
      <c r="J33" s="21"/>
      <c r="K33" s="21"/>
      <c r="L33" s="33" t="n">
        <f aca="false">COUNTIF(Matches!$K$4:$K$38,"Edward")</f>
        <v>2</v>
      </c>
      <c r="M33" s="33"/>
    </row>
    <row r="34" customFormat="false" ht="15" hidden="false" customHeight="false" outlineLevel="0" collapsed="false">
      <c r="A34" s="23" t="s">
        <v>120</v>
      </c>
      <c r="B34" s="23"/>
      <c r="C34" s="23"/>
      <c r="D34" s="23"/>
      <c r="E34" s="34" t="n">
        <f aca="false">COUNTIF(Matches!$L$4:$L$38,"Fredrick")</f>
        <v>3</v>
      </c>
      <c r="F34" s="34"/>
      <c r="H34" s="23" t="s">
        <v>120</v>
      </c>
      <c r="I34" s="23"/>
      <c r="J34" s="23"/>
      <c r="K34" s="23"/>
      <c r="L34" s="34" t="n">
        <f aca="false">COUNTIF(Matches!$L$4:$L$38,"Edward")</f>
        <v>3</v>
      </c>
      <c r="M34" s="34"/>
    </row>
    <row r="35" customFormat="false" ht="15" hidden="false" customHeight="false" outlineLevel="0" collapsed="false">
      <c r="A35" s="21" t="s">
        <v>121</v>
      </c>
      <c r="B35" s="21"/>
      <c r="C35" s="21"/>
      <c r="D35" s="21"/>
      <c r="E35" s="33" t="n">
        <f aca="false">IFERROR(_xlfn.MAXIFS('Goal Log'!$C$4:$C$110,'Goal Log'!$B$4:$B$110,"Fredrick"),0)</f>
        <v>1</v>
      </c>
      <c r="F35" s="33"/>
      <c r="H35" s="21" t="s">
        <v>121</v>
      </c>
      <c r="I35" s="21"/>
      <c r="J35" s="21"/>
      <c r="K35" s="21"/>
      <c r="L35" s="33" t="n">
        <f aca="false">IFERROR(_xlfn.MAXIFS('Goal Log'!$C$4:$C$110,'Goal Log'!$B$4:$B$110,"Edward"),0)</f>
        <v>1</v>
      </c>
      <c r="M35" s="33"/>
    </row>
    <row r="36" customFormat="false" ht="15" hidden="false" customHeight="false" outlineLevel="0" collapsed="false">
      <c r="A36" s="23" t="s">
        <v>122</v>
      </c>
      <c r="B36" s="23"/>
      <c r="C36" s="23"/>
      <c r="D36" s="23"/>
      <c r="E36" s="34" t="n">
        <f aca="false">COUNTIF('Goal Log'!$B$4:$B$110,"Fredrick")</f>
        <v>3</v>
      </c>
      <c r="F36" s="34"/>
      <c r="H36" s="23" t="s">
        <v>122</v>
      </c>
      <c r="I36" s="23"/>
      <c r="J36" s="23"/>
      <c r="K36" s="23"/>
      <c r="L36" s="34" t="n">
        <f aca="false">COUNTIF('Goal Log'!$B$4:$B$110,"Edward")</f>
        <v>2</v>
      </c>
      <c r="M36" s="34"/>
    </row>
  </sheetData>
  <mergeCells count="111">
    <mergeCell ref="A1:M1"/>
    <mergeCell ref="A3:F3"/>
    <mergeCell ref="H3:M3"/>
    <mergeCell ref="A4:D4"/>
    <mergeCell ref="E4:F4"/>
    <mergeCell ref="H4:K4"/>
    <mergeCell ref="L4:M4"/>
    <mergeCell ref="A5:D5"/>
    <mergeCell ref="E5:F5"/>
    <mergeCell ref="H5:K5"/>
    <mergeCell ref="L5:M5"/>
    <mergeCell ref="A6:D6"/>
    <mergeCell ref="E6:F6"/>
    <mergeCell ref="H6:K6"/>
    <mergeCell ref="L6:M6"/>
    <mergeCell ref="A7:D7"/>
    <mergeCell ref="E7:F7"/>
    <mergeCell ref="H7:K7"/>
    <mergeCell ref="L7:M7"/>
    <mergeCell ref="A8:D8"/>
    <mergeCell ref="E8:F8"/>
    <mergeCell ref="H8:K8"/>
    <mergeCell ref="L8:M8"/>
    <mergeCell ref="A10:F10"/>
    <mergeCell ref="H10:M10"/>
    <mergeCell ref="A11:D11"/>
    <mergeCell ref="E11:F11"/>
    <mergeCell ref="H11:K11"/>
    <mergeCell ref="L11:M11"/>
    <mergeCell ref="A12:D12"/>
    <mergeCell ref="E12:F12"/>
    <mergeCell ref="H12:K12"/>
    <mergeCell ref="L12:M12"/>
    <mergeCell ref="A13:D13"/>
    <mergeCell ref="E13:F13"/>
    <mergeCell ref="H13:K13"/>
    <mergeCell ref="L13:M13"/>
    <mergeCell ref="A14:D14"/>
    <mergeCell ref="E14:F14"/>
    <mergeCell ref="H14:K14"/>
    <mergeCell ref="L14:M14"/>
    <mergeCell ref="A15:D15"/>
    <mergeCell ref="E15:F15"/>
    <mergeCell ref="H15:K15"/>
    <mergeCell ref="L15:M15"/>
    <mergeCell ref="A17:F17"/>
    <mergeCell ref="H17:M17"/>
    <mergeCell ref="A18:D18"/>
    <mergeCell ref="E18:F18"/>
    <mergeCell ref="H18:K18"/>
    <mergeCell ref="L18:M18"/>
    <mergeCell ref="A19:D19"/>
    <mergeCell ref="E19:F19"/>
    <mergeCell ref="H19:K19"/>
    <mergeCell ref="L19:M19"/>
    <mergeCell ref="A20:D20"/>
    <mergeCell ref="E20:F20"/>
    <mergeCell ref="H20:K20"/>
    <mergeCell ref="L20:M20"/>
    <mergeCell ref="A21:D21"/>
    <mergeCell ref="E21:F21"/>
    <mergeCell ref="H21:K21"/>
    <mergeCell ref="L21:M21"/>
    <mergeCell ref="A22:D22"/>
    <mergeCell ref="E22:F22"/>
    <mergeCell ref="H22:K22"/>
    <mergeCell ref="L22:M22"/>
    <mergeCell ref="A24:F24"/>
    <mergeCell ref="H24:M24"/>
    <mergeCell ref="A25:D25"/>
    <mergeCell ref="E25:F25"/>
    <mergeCell ref="H25:K25"/>
    <mergeCell ref="L25:M25"/>
    <mergeCell ref="A26:D26"/>
    <mergeCell ref="E26:F26"/>
    <mergeCell ref="H26:K26"/>
    <mergeCell ref="L26:M26"/>
    <mergeCell ref="A27:D27"/>
    <mergeCell ref="E27:F27"/>
    <mergeCell ref="H27:K27"/>
    <mergeCell ref="L27:M27"/>
    <mergeCell ref="A28:D28"/>
    <mergeCell ref="E28:F28"/>
    <mergeCell ref="H28:K28"/>
    <mergeCell ref="L28:M28"/>
    <mergeCell ref="A29:D29"/>
    <mergeCell ref="E29:F29"/>
    <mergeCell ref="H29:K29"/>
    <mergeCell ref="L29:M29"/>
    <mergeCell ref="A31:F31"/>
    <mergeCell ref="H31:M31"/>
    <mergeCell ref="A32:D32"/>
    <mergeCell ref="E32:F32"/>
    <mergeCell ref="H32:K32"/>
    <mergeCell ref="L32:M32"/>
    <mergeCell ref="A33:D33"/>
    <mergeCell ref="E33:F33"/>
    <mergeCell ref="H33:K33"/>
    <mergeCell ref="L33:M33"/>
    <mergeCell ref="A34:D34"/>
    <mergeCell ref="E34:F34"/>
    <mergeCell ref="H34:K34"/>
    <mergeCell ref="L34:M34"/>
    <mergeCell ref="A35:D35"/>
    <mergeCell ref="E35:F35"/>
    <mergeCell ref="H35:K35"/>
    <mergeCell ref="L35:M35"/>
    <mergeCell ref="A36:D36"/>
    <mergeCell ref="E36:F36"/>
    <mergeCell ref="H36:K36"/>
    <mergeCell ref="L36:M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6" min="4" style="0" width="9"/>
    <col collapsed="false" customWidth="true" hidden="false" outlineLevel="0" max="7" min="7" style="0" width="15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18" t="s">
        <v>123</v>
      </c>
      <c r="B1" s="18"/>
      <c r="C1" s="18"/>
      <c r="D1" s="18"/>
      <c r="E1" s="18"/>
      <c r="F1" s="18"/>
      <c r="G1" s="18"/>
    </row>
    <row r="3" customFormat="false" ht="16.15" hidden="false" customHeight="false" outlineLevel="0" collapsed="false">
      <c r="A3" s="35" t="s">
        <v>124</v>
      </c>
      <c r="B3" s="36" t="s">
        <v>56</v>
      </c>
      <c r="C3" s="36"/>
      <c r="E3" s="37" t="s">
        <v>87</v>
      </c>
      <c r="F3" s="37"/>
      <c r="G3" s="37" t="s">
        <v>119</v>
      </c>
      <c r="H3" s="37"/>
      <c r="I3" s="37" t="s">
        <v>120</v>
      </c>
      <c r="J3" s="37"/>
      <c r="K3" s="37" t="s">
        <v>122</v>
      </c>
      <c r="L3" s="37"/>
    </row>
    <row r="4" customFormat="false" ht="19.7" hidden="false" customHeight="false" outlineLevel="0" collapsed="false">
      <c r="E4" s="38" t="n">
        <f aca="false">SUMIF('Goal Log'!$B$4:$B$110,$B$3,'Goal Log'!$C$4:$C$110)</f>
        <v>32</v>
      </c>
      <c r="F4" s="38"/>
      <c r="G4" s="38" t="n">
        <f aca="false">COUNTIF(Matches!$K$4:$K$38,$B$3)</f>
        <v>3</v>
      </c>
      <c r="H4" s="38"/>
      <c r="I4" s="38" t="n">
        <f aca="false">COUNTIF(Matches!$L$4:$L$38,$B$3)</f>
        <v>5</v>
      </c>
      <c r="J4" s="38"/>
      <c r="K4" s="38" t="n">
        <f aca="false">COUNTIF('Goal Log'!$B$4:$B$110,$B$3)</f>
        <v>20</v>
      </c>
      <c r="L4" s="38"/>
    </row>
    <row r="6" customFormat="false" ht="15" hidden="false" customHeight="false" outlineLevel="0" collapsed="false">
      <c r="A6" s="19" t="s">
        <v>15</v>
      </c>
      <c r="B6" s="19" t="s">
        <v>16</v>
      </c>
      <c r="C6" s="19" t="s">
        <v>29</v>
      </c>
      <c r="D6" s="19" t="s">
        <v>125</v>
      </c>
      <c r="E6" s="19" t="s">
        <v>126</v>
      </c>
      <c r="F6" s="19" t="s">
        <v>95</v>
      </c>
      <c r="G6" s="19" t="s">
        <v>127</v>
      </c>
      <c r="H6" s="19" t="s">
        <v>128</v>
      </c>
    </row>
    <row r="7" customFormat="false" ht="15" hidden="false" customHeight="false" outlineLevel="0" collapsed="false">
      <c r="A7" s="20" t="n">
        <f aca="false">Matches!A4</f>
        <v>1</v>
      </c>
      <c r="B7" s="20" t="str">
        <f aca="false">Matches!B4</f>
        <v>Division 5</v>
      </c>
      <c r="C7" s="21" t="str">
        <f aca="false">Matches!O4</f>
        <v>Oldershaw Dynamos</v>
      </c>
      <c r="D7" s="20" t="str">
        <f aca="false">IF(Matches!D4="Neston Nomads Vikings","Home","Away")</f>
        <v>Away</v>
      </c>
      <c r="E7" s="20" t="str">
        <f aca="false">Matches!I4&amp;"-"&amp;Matches!J4</f>
        <v>6-2</v>
      </c>
      <c r="F7" s="20" t="str">
        <f aca="false">Matches!H4</f>
        <v>W</v>
      </c>
      <c r="G7" s="20" t="n">
        <f aca="false">SUMIFS('Goal Log'!$C$4:$C$110,'Goal Log'!$A$4:$A$110,A7,'Goal Log'!$B$4:$B$110,$B$3)</f>
        <v>2</v>
      </c>
      <c r="H7" s="20" t="str">
        <f aca="false">TRIM(CONCATENATE(IF(Matches!K4=$B$3,"MOTM "," "),IF(Matches!L4=$B$3,"GOTW","")))</f>
        <v/>
      </c>
    </row>
    <row r="8" customFormat="false" ht="15" hidden="false" customHeight="false" outlineLevel="0" collapsed="false">
      <c r="A8" s="22" t="n">
        <f aca="false">Matches!A5</f>
        <v>2</v>
      </c>
      <c r="B8" s="22" t="str">
        <f aca="false">Matches!B5</f>
        <v>Division 5</v>
      </c>
      <c r="C8" s="23" t="str">
        <f aca="false">Matches!O5</f>
        <v>Oldershaw Dynamos</v>
      </c>
      <c r="D8" s="22" t="str">
        <f aca="false">IF(Matches!D5="Neston Nomads Vikings","Home","Away")</f>
        <v>Away</v>
      </c>
      <c r="E8" s="22" t="str">
        <f aca="false">Matches!I5&amp;"-"&amp;Matches!J5</f>
        <v>4-1</v>
      </c>
      <c r="F8" s="22" t="str">
        <f aca="false">Matches!H5</f>
        <v>W</v>
      </c>
      <c r="G8" s="22" t="n">
        <f aca="false">SUMIFS('Goal Log'!$C$4:$C$110,'Goal Log'!$A$4:$A$110,A8,'Goal Log'!$B$4:$B$110,$B$3)</f>
        <v>2</v>
      </c>
      <c r="H8" s="22" t="str">
        <f aca="false">TRIM(CONCATENATE(IF(Matches!K5=$B$3,"MOTM "," "),IF(Matches!L5=$B$3,"GOTW","")))</f>
        <v/>
      </c>
    </row>
    <row r="9" customFormat="false" ht="15" hidden="false" customHeight="false" outlineLevel="0" collapsed="false">
      <c r="A9" s="20" t="n">
        <f aca="false">Matches!A6</f>
        <v>3</v>
      </c>
      <c r="B9" s="20" t="str">
        <f aca="false">Matches!B6</f>
        <v>Division 5</v>
      </c>
      <c r="C9" s="21" t="str">
        <f aca="false">Matches!O6</f>
        <v>Wallasey Village</v>
      </c>
      <c r="D9" s="20" t="str">
        <f aca="false">IF(Matches!D6="Neston Nomads Vikings","Home","Away")</f>
        <v>Away</v>
      </c>
      <c r="E9" s="20" t="str">
        <f aca="false">Matches!I6&amp;"-"&amp;Matches!J6</f>
        <v>6-2</v>
      </c>
      <c r="F9" s="20" t="str">
        <f aca="false">Matches!H6</f>
        <v>W</v>
      </c>
      <c r="G9" s="20" t="n">
        <f aca="false">SUMIFS('Goal Log'!$C$4:$C$110,'Goal Log'!$A$4:$A$110,A9,'Goal Log'!$B$4:$B$110,$B$3)</f>
        <v>0</v>
      </c>
      <c r="H9" s="20" t="str">
        <f aca="false">TRIM(CONCATENATE(IF(Matches!K6=$B$3,"MOTM "," "),IF(Matches!L6=$B$3,"GOTW","")))</f>
        <v/>
      </c>
    </row>
    <row r="10" customFormat="false" ht="15" hidden="false" customHeight="false" outlineLevel="0" collapsed="false">
      <c r="A10" s="22" t="n">
        <f aca="false">Matches!A7</f>
        <v>4</v>
      </c>
      <c r="B10" s="22" t="str">
        <f aca="false">Matches!B7</f>
        <v>Division 5</v>
      </c>
      <c r="C10" s="23" t="str">
        <f aca="false">Matches!O7</f>
        <v>Oldershaw Dragoons</v>
      </c>
      <c r="D10" s="22" t="str">
        <f aca="false">IF(Matches!D7="Neston Nomads Vikings","Home","Away")</f>
        <v>Away</v>
      </c>
      <c r="E10" s="22" t="str">
        <f aca="false">Matches!I7&amp;"-"&amp;Matches!J7</f>
        <v>6-0</v>
      </c>
      <c r="F10" s="22" t="str">
        <f aca="false">Matches!H7</f>
        <v>W</v>
      </c>
      <c r="G10" s="22" t="n">
        <f aca="false">SUMIFS('Goal Log'!$C$4:$C$110,'Goal Log'!$A$4:$A$110,A10,'Goal Log'!$B$4:$B$110,$B$3)</f>
        <v>1</v>
      </c>
      <c r="H10" s="22" t="str">
        <f aca="false">TRIM(CONCATENATE(IF(Matches!K7=$B$3,"MOTM "," "),IF(Matches!L7=$B$3,"GOTW","")))</f>
        <v/>
      </c>
    </row>
    <row r="11" customFormat="false" ht="15" hidden="false" customHeight="false" outlineLevel="0" collapsed="false">
      <c r="A11" s="20" t="n">
        <f aca="false">Matches!A8</f>
        <v>5</v>
      </c>
      <c r="B11" s="20" t="str">
        <f aca="false">Matches!B8</f>
        <v>Division 5</v>
      </c>
      <c r="C11" s="21" t="str">
        <f aca="false">Matches!O8</f>
        <v>Groves FX</v>
      </c>
      <c r="D11" s="20" t="str">
        <f aca="false">IF(Matches!D8="Neston Nomads Vikings","Home","Away")</f>
        <v>Home</v>
      </c>
      <c r="E11" s="20" t="str">
        <f aca="false">Matches!I8&amp;"-"&amp;Matches!J8</f>
        <v>5-2</v>
      </c>
      <c r="F11" s="20" t="str">
        <f aca="false">Matches!H8</f>
        <v>W</v>
      </c>
      <c r="G11" s="20" t="n">
        <f aca="false">SUMIFS('Goal Log'!$C$4:$C$110,'Goal Log'!$A$4:$A$110,A11,'Goal Log'!$B$4:$B$110,$B$3)</f>
        <v>1</v>
      </c>
      <c r="H11" s="20" t="str">
        <f aca="false">TRIM(CONCATENATE(IF(Matches!K8=$B$3,"MOTM "," "),IF(Matches!L8=$B$3,"GOTW","")))</f>
        <v/>
      </c>
    </row>
    <row r="12" customFormat="false" ht="15" hidden="false" customHeight="false" outlineLevel="0" collapsed="false">
      <c r="A12" s="22" t="n">
        <f aca="false">Matches!A9</f>
        <v>6</v>
      </c>
      <c r="B12" s="22" t="str">
        <f aca="false">Matches!B9</f>
        <v>Division 4</v>
      </c>
      <c r="C12" s="23" t="str">
        <f aca="false">Matches!O9</f>
        <v>Moreton Peru</v>
      </c>
      <c r="D12" s="22" t="str">
        <f aca="false">IF(Matches!D9="Neston Nomads Vikings","Home","Away")</f>
        <v>Away</v>
      </c>
      <c r="E12" s="22" t="str">
        <f aca="false">Matches!I9&amp;"-"&amp;Matches!J9</f>
        <v>6-6</v>
      </c>
      <c r="F12" s="22" t="str">
        <f aca="false">Matches!H9</f>
        <v>D</v>
      </c>
      <c r="G12" s="22" t="n">
        <f aca="false">SUMIFS('Goal Log'!$C$4:$C$110,'Goal Log'!$A$4:$A$110,A12,'Goal Log'!$B$4:$B$110,$B$3)</f>
        <v>3</v>
      </c>
      <c r="H12" s="22" t="str">
        <f aca="false">TRIM(CONCATENATE(IF(Matches!K9=$B$3,"MOTM "," "),IF(Matches!L9=$B$3,"GOTW","")))</f>
        <v/>
      </c>
    </row>
    <row r="13" customFormat="false" ht="15" hidden="false" customHeight="false" outlineLevel="0" collapsed="false">
      <c r="A13" s="20" t="n">
        <f aca="false">Matches!A10</f>
        <v>7</v>
      </c>
      <c r="B13" s="20" t="str">
        <f aca="false">Matches!B10</f>
        <v>Division 4</v>
      </c>
      <c r="C13" s="21" t="str">
        <f aca="false">Matches!O10</f>
        <v>West Kirby</v>
      </c>
      <c r="D13" s="20" t="str">
        <f aca="false">IF(Matches!D10="Neston Nomads Vikings","Home","Away")</f>
        <v>Home</v>
      </c>
      <c r="E13" s="20" t="str">
        <f aca="false">Matches!I10&amp;"-"&amp;Matches!J10</f>
        <v>5-4</v>
      </c>
      <c r="F13" s="20" t="str">
        <f aca="false">Matches!H10</f>
        <v>W</v>
      </c>
      <c r="G13" s="20" t="n">
        <f aca="false">SUMIFS('Goal Log'!$C$4:$C$110,'Goal Log'!$A$4:$A$110,A13,'Goal Log'!$B$4:$B$110,$B$3)</f>
        <v>1</v>
      </c>
      <c r="H13" s="20" t="str">
        <f aca="false">TRIM(CONCATENATE(IF(Matches!K10=$B$3,"MOTM "," "),IF(Matches!L10=$B$3,"GOTW","")))</f>
        <v/>
      </c>
    </row>
    <row r="14" customFormat="false" ht="15" hidden="false" customHeight="false" outlineLevel="0" collapsed="false">
      <c r="A14" s="22" t="n">
        <f aca="false">Matches!A11</f>
        <v>8</v>
      </c>
      <c r="B14" s="22" t="str">
        <f aca="false">Matches!B11</f>
        <v>Division 4</v>
      </c>
      <c r="C14" s="23" t="str">
        <f aca="false">Matches!O11</f>
        <v>Victoria Colts</v>
      </c>
      <c r="D14" s="22" t="str">
        <f aca="false">IF(Matches!D11="Neston Nomads Vikings","Home","Away")</f>
        <v>Away</v>
      </c>
      <c r="E14" s="22" t="str">
        <f aca="false">Matches!I11&amp;"-"&amp;Matches!J11</f>
        <v>1-5</v>
      </c>
      <c r="F14" s="22" t="str">
        <f aca="false">Matches!H11</f>
        <v>L</v>
      </c>
      <c r="G14" s="22" t="n">
        <f aca="false">SUMIFS('Goal Log'!$C$4:$C$110,'Goal Log'!$A$4:$A$110,A14,'Goal Log'!$B$4:$B$110,$B$3)</f>
        <v>1</v>
      </c>
      <c r="H14" s="22" t="str">
        <f aca="false">TRIM(CONCATENATE(IF(Matches!K11=$B$3,"MOTM "," "),IF(Matches!L11=$B$3,"GOTW","")))</f>
        <v/>
      </c>
    </row>
    <row r="15" customFormat="false" ht="15" hidden="false" customHeight="false" outlineLevel="0" collapsed="false">
      <c r="A15" s="20" t="n">
        <f aca="false">Matches!A12</f>
        <v>9</v>
      </c>
      <c r="B15" s="20" t="str">
        <f aca="false">Matches!B12</f>
        <v>Division 4</v>
      </c>
      <c r="C15" s="21" t="str">
        <f aca="false">Matches!O12</f>
        <v>Higher Bebington Celtics</v>
      </c>
      <c r="D15" s="20" t="str">
        <f aca="false">IF(Matches!D12="Neston Nomads Vikings","Home","Away")</f>
        <v>Home</v>
      </c>
      <c r="E15" s="20" t="str">
        <f aca="false">Matches!I12&amp;"-"&amp;Matches!J12</f>
        <v>3-2</v>
      </c>
      <c r="F15" s="20" t="str">
        <f aca="false">Matches!H12</f>
        <v>W</v>
      </c>
      <c r="G15" s="20" t="n">
        <f aca="false">SUMIFS('Goal Log'!$C$4:$C$110,'Goal Log'!$A$4:$A$110,A15,'Goal Log'!$B$4:$B$110,$B$3)</f>
        <v>1</v>
      </c>
      <c r="H15" s="20" t="str">
        <f aca="false">TRIM(CONCATENATE(IF(Matches!K12=$B$3,"MOTM "," "),IF(Matches!L12=$B$3,"GOTW","")))</f>
        <v/>
      </c>
    </row>
    <row r="16" customFormat="false" ht="15" hidden="false" customHeight="false" outlineLevel="0" collapsed="false">
      <c r="A16" s="22" t="n">
        <f aca="false">Matches!A13</f>
        <v>10</v>
      </c>
      <c r="B16" s="22" t="str">
        <f aca="false">Matches!B13</f>
        <v>Division 4</v>
      </c>
      <c r="C16" s="23" t="str">
        <f aca="false">Matches!O13</f>
        <v>Ellesmere Port</v>
      </c>
      <c r="D16" s="22" t="str">
        <f aca="false">IF(Matches!D13="Neston Nomads Vikings","Home","Away")</f>
        <v>Away</v>
      </c>
      <c r="E16" s="22" t="str">
        <f aca="false">Matches!I13&amp;"-"&amp;Matches!J13</f>
        <v>1-4</v>
      </c>
      <c r="F16" s="22" t="str">
        <f aca="false">Matches!H13</f>
        <v>L</v>
      </c>
      <c r="G16" s="22" t="n">
        <f aca="false">SUMIFS('Goal Log'!$C$4:$C$110,'Goal Log'!$A$4:$A$110,A16,'Goal Log'!$B$4:$B$110,$B$3)</f>
        <v>0</v>
      </c>
      <c r="H16" s="22" t="str">
        <f aca="false">TRIM(CONCATENATE(IF(Matches!K13=$B$3,"MOTM "," "),IF(Matches!L13=$B$3,"GOTW","")))</f>
        <v/>
      </c>
    </row>
    <row r="17" customFormat="false" ht="15" hidden="false" customHeight="false" outlineLevel="0" collapsed="false">
      <c r="A17" s="20" t="n">
        <f aca="false">Matches!A14</f>
        <v>11</v>
      </c>
      <c r="B17" s="20" t="str">
        <f aca="false">Matches!B14</f>
        <v>Division 4</v>
      </c>
      <c r="C17" s="21" t="str">
        <f aca="false">Matches!O14</f>
        <v>West Kirby</v>
      </c>
      <c r="D17" s="20" t="str">
        <f aca="false">IF(Matches!D14="Neston Nomads Vikings","Home","Away")</f>
        <v>Home</v>
      </c>
      <c r="E17" s="20" t="str">
        <f aca="false">Matches!I14&amp;"-"&amp;Matches!J14</f>
        <v>4-7</v>
      </c>
      <c r="F17" s="20" t="str">
        <f aca="false">Matches!H14</f>
        <v>L</v>
      </c>
      <c r="G17" s="20" t="n">
        <f aca="false">SUMIFS('Goal Log'!$C$4:$C$110,'Goal Log'!$A$4:$A$110,A17,'Goal Log'!$B$4:$B$110,$B$3)</f>
        <v>2</v>
      </c>
      <c r="H17" s="20" t="str">
        <f aca="false">TRIM(CONCATENATE(IF(Matches!K14=$B$3,"MOTM "," "),IF(Matches!L14=$B$3,"GOTW","")))</f>
        <v>MOTM</v>
      </c>
    </row>
    <row r="18" customFormat="false" ht="15" hidden="false" customHeight="false" outlineLevel="0" collapsed="false">
      <c r="A18" s="22" t="n">
        <f aca="false">Matches!A15</f>
        <v>12</v>
      </c>
      <c r="B18" s="22" t="str">
        <f aca="false">Matches!B15</f>
        <v>Division 4</v>
      </c>
      <c r="C18" s="23" t="str">
        <f aca="false">Matches!O15</f>
        <v>West Kirby</v>
      </c>
      <c r="D18" s="22" t="str">
        <f aca="false">IF(Matches!D15="Neston Nomads Vikings","Home","Away")</f>
        <v>Home</v>
      </c>
      <c r="E18" s="22" t="str">
        <f aca="false">Matches!I15&amp;"-"&amp;Matches!J15</f>
        <v>4-1</v>
      </c>
      <c r="F18" s="22" t="str">
        <f aca="false">Matches!H15</f>
        <v>W</v>
      </c>
      <c r="G18" s="22" t="n">
        <f aca="false">SUMIFS('Goal Log'!$C$4:$C$110,'Goal Log'!$A$4:$A$110,A18,'Goal Log'!$B$4:$B$110,$B$3)</f>
        <v>0</v>
      </c>
      <c r="H18" s="22" t="str">
        <f aca="false">TRIM(CONCATENATE(IF(Matches!K15=$B$3,"MOTM "," "),IF(Matches!L15=$B$3,"GOTW","")))</f>
        <v/>
      </c>
    </row>
    <row r="19" customFormat="false" ht="15" hidden="false" customHeight="false" outlineLevel="0" collapsed="false">
      <c r="A19" s="20" t="n">
        <f aca="false">Matches!A16</f>
        <v>13</v>
      </c>
      <c r="B19" s="20" t="str">
        <f aca="false">Matches!B16</f>
        <v>Division 4</v>
      </c>
      <c r="C19" s="21" t="str">
        <f aca="false">Matches!O16</f>
        <v>Victoria Colts</v>
      </c>
      <c r="D19" s="20" t="str">
        <f aca="false">IF(Matches!D16="Neston Nomads Vikings","Home","Away")</f>
        <v>Away</v>
      </c>
      <c r="E19" s="20" t="str">
        <f aca="false">Matches!I16&amp;"-"&amp;Matches!J16</f>
        <v>2-3</v>
      </c>
      <c r="F19" s="20" t="str">
        <f aca="false">Matches!H16</f>
        <v>L</v>
      </c>
      <c r="G19" s="20" t="n">
        <f aca="false">SUMIFS('Goal Log'!$C$4:$C$110,'Goal Log'!$A$4:$A$110,A19,'Goal Log'!$B$4:$B$110,$B$3)</f>
        <v>0</v>
      </c>
      <c r="H19" s="20" t="str">
        <f aca="false">TRIM(CONCATENATE(IF(Matches!K16=$B$3,"MOTM "," "),IF(Matches!L16=$B$3,"GOTW","")))</f>
        <v>GOTW</v>
      </c>
    </row>
    <row r="20" customFormat="false" ht="15" hidden="false" customHeight="false" outlineLevel="0" collapsed="false">
      <c r="A20" s="22" t="n">
        <f aca="false">Matches!A17</f>
        <v>14</v>
      </c>
      <c r="B20" s="22" t="str">
        <f aca="false">Matches!B17</f>
        <v>Division 4</v>
      </c>
      <c r="C20" s="23" t="str">
        <f aca="false">Matches!O17</f>
        <v>Higher Bebington Celtics</v>
      </c>
      <c r="D20" s="22" t="str">
        <f aca="false">IF(Matches!D17="Neston Nomads Vikings","Home","Away")</f>
        <v>Home</v>
      </c>
      <c r="E20" s="22" t="str">
        <f aca="false">Matches!I17&amp;"-"&amp;Matches!J17</f>
        <v>0-3</v>
      </c>
      <c r="F20" s="22" t="str">
        <f aca="false">Matches!H17</f>
        <v>L</v>
      </c>
      <c r="G20" s="22" t="n">
        <f aca="false">SUMIFS('Goal Log'!$C$4:$C$110,'Goal Log'!$A$4:$A$110,A20,'Goal Log'!$B$4:$B$110,$B$3)</f>
        <v>0</v>
      </c>
      <c r="H20" s="22" t="str">
        <f aca="false">TRIM(CONCATENATE(IF(Matches!K17=$B$3,"MOTM "," "),IF(Matches!L17=$B$3,"GOTW","")))</f>
        <v/>
      </c>
    </row>
    <row r="21" customFormat="false" ht="15" hidden="false" customHeight="false" outlineLevel="0" collapsed="false">
      <c r="A21" s="20" t="n">
        <f aca="false">Matches!A18</f>
        <v>15</v>
      </c>
      <c r="B21" s="20" t="str">
        <f aca="false">Matches!B18</f>
        <v>Division 4</v>
      </c>
      <c r="C21" s="21" t="str">
        <f aca="false">Matches!O18</f>
        <v>Neston Nomads Raiders</v>
      </c>
      <c r="D21" s="20" t="str">
        <f aca="false">IF(Matches!D18="Neston Nomads Vikings","Home","Away")</f>
        <v>Home</v>
      </c>
      <c r="E21" s="20" t="str">
        <f aca="false">Matches!I18&amp;"-"&amp;Matches!J18</f>
        <v>3-3</v>
      </c>
      <c r="F21" s="20" t="str">
        <f aca="false">Matches!H18</f>
        <v>D</v>
      </c>
      <c r="G21" s="20" t="n">
        <f aca="false">SUMIFS('Goal Log'!$C$4:$C$110,'Goal Log'!$A$4:$A$110,A21,'Goal Log'!$B$4:$B$110,$B$3)</f>
        <v>0</v>
      </c>
      <c r="H21" s="20" t="str">
        <f aca="false">TRIM(CONCATENATE(IF(Matches!K18=$B$3,"MOTM "," "),IF(Matches!L18=$B$3,"GOTW","")))</f>
        <v/>
      </c>
    </row>
    <row r="22" customFormat="false" ht="15" hidden="false" customHeight="false" outlineLevel="0" collapsed="false">
      <c r="A22" s="22" t="n">
        <f aca="false">Matches!A19</f>
        <v>16</v>
      </c>
      <c r="B22" s="22" t="str">
        <f aca="false">Matches!B19</f>
        <v>Division 4</v>
      </c>
      <c r="C22" s="23" t="str">
        <f aca="false">Matches!O19</f>
        <v>Ellesmere Port</v>
      </c>
      <c r="D22" s="22" t="str">
        <f aca="false">IF(Matches!D19="Neston Nomads Vikings","Home","Away")</f>
        <v>Home</v>
      </c>
      <c r="E22" s="22" t="str">
        <f aca="false">Matches!I19&amp;"-"&amp;Matches!J19</f>
        <v>7-3</v>
      </c>
      <c r="F22" s="22" t="str">
        <f aca="false">Matches!H19</f>
        <v>W</v>
      </c>
      <c r="G22" s="22" t="n">
        <f aca="false">SUMIFS('Goal Log'!$C$4:$C$110,'Goal Log'!$A$4:$A$110,A22,'Goal Log'!$B$4:$B$110,$B$3)</f>
        <v>2</v>
      </c>
      <c r="H22" s="22" t="str">
        <f aca="false">TRIM(CONCATENATE(IF(Matches!K19=$B$3,"MOTM "," "),IF(Matches!L19=$B$3,"GOTW","")))</f>
        <v/>
      </c>
    </row>
    <row r="23" customFormat="false" ht="15" hidden="false" customHeight="false" outlineLevel="0" collapsed="false">
      <c r="A23" s="20" t="n">
        <f aca="false">Matches!A20</f>
        <v>17</v>
      </c>
      <c r="B23" s="20" t="str">
        <f aca="false">Matches!B20</f>
        <v>Division 4</v>
      </c>
      <c r="C23" s="21" t="str">
        <f aca="false">Matches!O20</f>
        <v>Heswall</v>
      </c>
      <c r="D23" s="20" t="str">
        <f aca="false">IF(Matches!D20="Neston Nomads Vikings","Home","Away")</f>
        <v>Away</v>
      </c>
      <c r="E23" s="20" t="str">
        <f aca="false">Matches!I20&amp;"-"&amp;Matches!J20</f>
        <v>7-0</v>
      </c>
      <c r="F23" s="20" t="str">
        <f aca="false">Matches!H20</f>
        <v>W</v>
      </c>
      <c r="G23" s="20" t="n">
        <f aca="false">SUMIFS('Goal Log'!$C$4:$C$110,'Goal Log'!$A$4:$A$110,A23,'Goal Log'!$B$4:$B$110,$B$3)</f>
        <v>3</v>
      </c>
      <c r="H23" s="20" t="str">
        <f aca="false">TRIM(CONCATENATE(IF(Matches!K20=$B$3,"MOTM "," "),IF(Matches!L20=$B$3,"GOTW","")))</f>
        <v/>
      </c>
    </row>
    <row r="24" customFormat="false" ht="15" hidden="false" customHeight="false" outlineLevel="0" collapsed="false">
      <c r="A24" s="22" t="n">
        <f aca="false">Matches!A21</f>
        <v>18</v>
      </c>
      <c r="B24" s="22" t="str">
        <f aca="false">Matches!B21</f>
        <v>Division 4</v>
      </c>
      <c r="C24" s="23" t="str">
        <f aca="false">Matches!O21</f>
        <v>Upton</v>
      </c>
      <c r="D24" s="22" t="str">
        <f aca="false">IF(Matches!D21="Neston Nomads Vikings","Home","Away")</f>
        <v>Home</v>
      </c>
      <c r="E24" s="22" t="str">
        <f aca="false">Matches!I21&amp;"-"&amp;Matches!J21</f>
        <v>5-3</v>
      </c>
      <c r="F24" s="22" t="str">
        <f aca="false">Matches!H21</f>
        <v>W</v>
      </c>
      <c r="G24" s="22" t="n">
        <f aca="false">SUMIFS('Goal Log'!$C$4:$C$110,'Goal Log'!$A$4:$A$110,A24,'Goal Log'!$B$4:$B$110,$B$3)</f>
        <v>2</v>
      </c>
      <c r="H24" s="22" t="str">
        <f aca="false">TRIM(CONCATENATE(IF(Matches!K21=$B$3,"MOTM "," "),IF(Matches!L21=$B$3,"GOTW","")))</f>
        <v/>
      </c>
    </row>
    <row r="25" customFormat="false" ht="15" hidden="false" customHeight="false" outlineLevel="0" collapsed="false">
      <c r="A25" s="20" t="n">
        <f aca="false">Matches!A22</f>
        <v>19</v>
      </c>
      <c r="B25" s="20" t="str">
        <f aca="false">Matches!B22</f>
        <v>Division 4</v>
      </c>
      <c r="C25" s="21" t="str">
        <f aca="false">Matches!O22</f>
        <v>Neston Nomads Knights</v>
      </c>
      <c r="D25" s="20" t="str">
        <f aca="false">IF(Matches!D22="Neston Nomads Vikings","Home","Away")</f>
        <v>Away</v>
      </c>
      <c r="E25" s="20" t="str">
        <f aca="false">Matches!I22&amp;"-"&amp;Matches!J22</f>
        <v>3-3</v>
      </c>
      <c r="F25" s="20" t="str">
        <f aca="false">Matches!H22</f>
        <v>D</v>
      </c>
      <c r="G25" s="20" t="n">
        <f aca="false">SUMIFS('Goal Log'!$C$4:$C$110,'Goal Log'!$A$4:$A$110,A25,'Goal Log'!$B$4:$B$110,$B$3)</f>
        <v>1</v>
      </c>
      <c r="H25" s="20" t="str">
        <f aca="false">TRIM(CONCATENATE(IF(Matches!K22=$B$3,"MOTM "," "),IF(Matches!L22=$B$3,"GOTW","")))</f>
        <v/>
      </c>
    </row>
    <row r="26" customFormat="false" ht="15" hidden="false" customHeight="false" outlineLevel="0" collapsed="false">
      <c r="A26" s="22" t="n">
        <f aca="false">Matches!A23</f>
        <v>20</v>
      </c>
      <c r="B26" s="22" t="str">
        <f aca="false">Matches!B23</f>
        <v>Division 4</v>
      </c>
      <c r="C26" s="23" t="str">
        <f aca="false">Matches!O23</f>
        <v>Wallasey</v>
      </c>
      <c r="D26" s="22" t="str">
        <f aca="false">IF(Matches!D23="Neston Nomads Vikings","Home","Away")</f>
        <v>Home</v>
      </c>
      <c r="E26" s="22" t="str">
        <f aca="false">Matches!I23&amp;"-"&amp;Matches!J23</f>
        <v>4-3</v>
      </c>
      <c r="F26" s="22" t="str">
        <f aca="false">Matches!H23</f>
        <v>W</v>
      </c>
      <c r="G26" s="22" t="n">
        <f aca="false">SUMIFS('Goal Log'!$C$4:$C$110,'Goal Log'!$A$4:$A$110,A26,'Goal Log'!$B$4:$B$110,$B$3)</f>
        <v>3</v>
      </c>
      <c r="H26" s="22" t="str">
        <f aca="false">TRIM(CONCATENATE(IF(Matches!K23=$B$3,"MOTM "," "),IF(Matches!L23=$B$3,"GOTW","")))</f>
        <v>MOTM</v>
      </c>
    </row>
    <row r="27" customFormat="false" ht="15" hidden="false" customHeight="false" outlineLevel="0" collapsed="false">
      <c r="A27" s="20" t="n">
        <f aca="false">Matches!A24</f>
        <v>21</v>
      </c>
      <c r="B27" s="20" t="str">
        <f aca="false">Matches!B24</f>
        <v>Division 4</v>
      </c>
      <c r="C27" s="21" t="str">
        <f aca="false">Matches!O24</f>
        <v>Cammell Lairds</v>
      </c>
      <c r="D27" s="20" t="str">
        <f aca="false">IF(Matches!D24="Neston Nomads Vikings","Home","Away")</f>
        <v>Away</v>
      </c>
      <c r="E27" s="20" t="str">
        <f aca="false">Matches!I24&amp;"-"&amp;Matches!J24</f>
        <v>5-4</v>
      </c>
      <c r="F27" s="20" t="str">
        <f aca="false">Matches!H24</f>
        <v>W</v>
      </c>
      <c r="G27" s="20" t="n">
        <f aca="false">SUMIFS('Goal Log'!$C$4:$C$110,'Goal Log'!$A$4:$A$110,A27,'Goal Log'!$B$4:$B$110,$B$3)</f>
        <v>0</v>
      </c>
      <c r="H27" s="20" t="str">
        <f aca="false">TRIM(CONCATENATE(IF(Matches!K24=$B$3,"MOTM "," "),IF(Matches!L24=$B$3,"GOTW","")))</f>
        <v/>
      </c>
    </row>
    <row r="28" customFormat="false" ht="15" hidden="false" customHeight="false" outlineLevel="0" collapsed="false">
      <c r="A28" s="22" t="n">
        <f aca="false">Matches!A25</f>
        <v>22</v>
      </c>
      <c r="B28" s="22" t="str">
        <f aca="false">Matches!B25</f>
        <v>Division 4</v>
      </c>
      <c r="C28" s="23" t="str">
        <f aca="false">Matches!O25</f>
        <v>Moreton Peru</v>
      </c>
      <c r="D28" s="22" t="str">
        <f aca="false">IF(Matches!D25="Neston Nomads Vikings","Home","Away")</f>
        <v>Home</v>
      </c>
      <c r="E28" s="22" t="str">
        <f aca="false">Matches!I25&amp;"-"&amp;Matches!J25</f>
        <v>4-2</v>
      </c>
      <c r="F28" s="22" t="str">
        <f aca="false">Matches!H25</f>
        <v>W</v>
      </c>
      <c r="G28" s="22" t="n">
        <f aca="false">SUMIFS('Goal Log'!$C$4:$C$110,'Goal Log'!$A$4:$A$110,A28,'Goal Log'!$B$4:$B$110,$B$3)</f>
        <v>1</v>
      </c>
      <c r="H28" s="22" t="str">
        <f aca="false">TRIM(CONCATENATE(IF(Matches!K25=$B$3,"MOTM "," "),IF(Matches!L25=$B$3,"GOTW","")))</f>
        <v>MOTM</v>
      </c>
    </row>
    <row r="29" customFormat="false" ht="15" hidden="false" customHeight="false" outlineLevel="0" collapsed="false">
      <c r="A29" s="20" t="n">
        <f aca="false">Matches!A26</f>
        <v>23</v>
      </c>
      <c r="B29" s="20" t="str">
        <f aca="false">Matches!B26</f>
        <v>Division 4</v>
      </c>
      <c r="C29" s="21" t="str">
        <f aca="false">Matches!O26</f>
        <v>Victoria Colts</v>
      </c>
      <c r="D29" s="20" t="str">
        <f aca="false">IF(Matches!D26="Neston Nomads Vikings","Home","Away")</f>
        <v>Home</v>
      </c>
      <c r="E29" s="20" t="str">
        <f aca="false">Matches!I26&amp;"-"&amp;Matches!J26</f>
        <v>4-1</v>
      </c>
      <c r="F29" s="20" t="str">
        <f aca="false">Matches!H26</f>
        <v>W</v>
      </c>
      <c r="G29" s="20" t="n">
        <f aca="false">SUMIFS('Goal Log'!$C$4:$C$110,'Goal Log'!$A$4:$A$110,A29,'Goal Log'!$B$4:$B$110,$B$3)</f>
        <v>1</v>
      </c>
      <c r="H29" s="20" t="str">
        <f aca="false">TRIM(CONCATENATE(IF(Matches!K26=$B$3,"MOTM "," "),IF(Matches!L26=$B$3,"GOTW","")))</f>
        <v/>
      </c>
    </row>
    <row r="30" customFormat="false" ht="15" hidden="false" customHeight="false" outlineLevel="0" collapsed="false">
      <c r="A30" s="22" t="n">
        <f aca="false">Matches!A27</f>
        <v>24</v>
      </c>
      <c r="B30" s="22" t="str">
        <f aca="false">Matches!B27</f>
        <v>Division 4</v>
      </c>
      <c r="C30" s="23" t="str">
        <f aca="false">Matches!O27</f>
        <v>Bebington</v>
      </c>
      <c r="D30" s="22" t="str">
        <f aca="false">IF(Matches!D27="Neston Nomads Vikings","Home","Away")</f>
        <v>Away</v>
      </c>
      <c r="E30" s="22" t="str">
        <f aca="false">Matches!I27&amp;"-"&amp;Matches!J27</f>
        <v>0-2</v>
      </c>
      <c r="F30" s="22" t="str">
        <f aca="false">Matches!H27</f>
        <v>L</v>
      </c>
      <c r="G30" s="22" t="n">
        <f aca="false">SUMIFS('Goal Log'!$C$4:$C$110,'Goal Log'!$A$4:$A$110,A30,'Goal Log'!$B$4:$B$110,$B$3)</f>
        <v>0</v>
      </c>
      <c r="H30" s="22" t="str">
        <f aca="false">TRIM(CONCATENATE(IF(Matches!K27=$B$3,"MOTM "," "),IF(Matches!L27=$B$3,"GOTW","")))</f>
        <v/>
      </c>
    </row>
    <row r="31" customFormat="false" ht="15" hidden="false" customHeight="false" outlineLevel="0" collapsed="false">
      <c r="A31" s="20" t="n">
        <f aca="false">Matches!A28</f>
        <v>25</v>
      </c>
      <c r="B31" s="20" t="str">
        <f aca="false">Matches!B28</f>
        <v>Division 4</v>
      </c>
      <c r="C31" s="21" t="str">
        <f aca="false">Matches!O28</f>
        <v>Neston Nomads Raiders</v>
      </c>
      <c r="D31" s="20" t="str">
        <f aca="false">IF(Matches!D28="Neston Nomads Vikings","Home","Away")</f>
        <v>Home</v>
      </c>
      <c r="E31" s="20" t="str">
        <f aca="false">Matches!I28&amp;"-"&amp;Matches!J28</f>
        <v>7-1</v>
      </c>
      <c r="F31" s="20" t="str">
        <f aca="false">Matches!H28</f>
        <v>W</v>
      </c>
      <c r="G31" s="20" t="n">
        <f aca="false">SUMIFS('Goal Log'!$C$4:$C$110,'Goal Log'!$A$4:$A$110,A31,'Goal Log'!$B$4:$B$110,$B$3)</f>
        <v>1</v>
      </c>
      <c r="H31" s="20" t="str">
        <f aca="false">TRIM(CONCATENATE(IF(Matches!K28=$B$3,"MOTM "," "),IF(Matches!L28=$B$3,"GOTW","")))</f>
        <v/>
      </c>
    </row>
    <row r="32" customFormat="false" ht="15" hidden="false" customHeight="false" outlineLevel="0" collapsed="false">
      <c r="A32" s="22" t="n">
        <f aca="false">Matches!A29</f>
        <v>26</v>
      </c>
      <c r="B32" s="22" t="str">
        <f aca="false">Matches!B29</f>
        <v>Division 4</v>
      </c>
      <c r="C32" s="23" t="str">
        <f aca="false">Matches!O29</f>
        <v>Neston Nomads Raiders</v>
      </c>
      <c r="D32" s="22" t="str">
        <f aca="false">IF(Matches!D29="Neston Nomads Vikings","Home","Away")</f>
        <v>Home</v>
      </c>
      <c r="E32" s="22" t="str">
        <f aca="false">Matches!I29&amp;"-"&amp;Matches!J29</f>
        <v>5-1</v>
      </c>
      <c r="F32" s="22" t="str">
        <f aca="false">Matches!H29</f>
        <v>W</v>
      </c>
      <c r="G32" s="22" t="n">
        <f aca="false">SUMIFS('Goal Log'!$C$4:$C$110,'Goal Log'!$A$4:$A$110,A32,'Goal Log'!$B$4:$B$110,$B$3)</f>
        <v>1</v>
      </c>
      <c r="H32" s="22" t="str">
        <f aca="false">TRIM(CONCATENATE(IF(Matches!K29=$B$3,"MOTM "," "),IF(Matches!L29=$B$3,"GOTW","")))</f>
        <v/>
      </c>
    </row>
    <row r="33" customFormat="false" ht="15" hidden="false" customHeight="false" outlineLevel="0" collapsed="false">
      <c r="A33" s="20" t="n">
        <f aca="false">Matches!A30</f>
        <v>27</v>
      </c>
      <c r="B33" s="20" t="str">
        <f aca="false">Matches!B30</f>
        <v>Summer League</v>
      </c>
      <c r="C33" s="21" t="str">
        <f aca="false">Matches!O30</f>
        <v>Heswall</v>
      </c>
      <c r="D33" s="20" t="str">
        <f aca="false">IF(Matches!D30="Neston Nomads Vikings","Home","Away")</f>
        <v>Home</v>
      </c>
      <c r="E33" s="20" t="str">
        <f aca="false">Matches!I30&amp;"-"&amp;Matches!J30</f>
        <v>4-1</v>
      </c>
      <c r="F33" s="20" t="str">
        <f aca="false">Matches!H30</f>
        <v>W</v>
      </c>
      <c r="G33" s="20" t="n">
        <f aca="false">SUMIFS('Goal Log'!$C$4:$C$110,'Goal Log'!$A$4:$A$110,A33,'Goal Log'!$B$4:$B$110,$B$3)</f>
        <v>0</v>
      </c>
      <c r="H33" s="20" t="str">
        <f aca="false">TRIM(CONCATENATE(IF(Matches!K30=$B$3,"MOTM "," "),IF(Matches!L30=$B$3,"GOTW","")))</f>
        <v>GOTW</v>
      </c>
    </row>
    <row r="34" customFormat="false" ht="15" hidden="false" customHeight="false" outlineLevel="0" collapsed="false">
      <c r="A34" s="22" t="n">
        <f aca="false">Matches!A31</f>
        <v>28</v>
      </c>
      <c r="B34" s="22" t="str">
        <f aca="false">Matches!B31</f>
        <v>Summer League</v>
      </c>
      <c r="C34" s="23" t="str">
        <f aca="false">Matches!O31</f>
        <v>Wallasey Village</v>
      </c>
      <c r="D34" s="22" t="str">
        <f aca="false">IF(Matches!D31="Neston Nomads Vikings","Home","Away")</f>
        <v>Home</v>
      </c>
      <c r="E34" s="22" t="str">
        <f aca="false">Matches!I31&amp;"-"&amp;Matches!J31</f>
        <v>3-6</v>
      </c>
      <c r="F34" s="22" t="str">
        <f aca="false">Matches!H31</f>
        <v>L</v>
      </c>
      <c r="G34" s="22" t="n">
        <f aca="false">SUMIFS('Goal Log'!$C$4:$C$110,'Goal Log'!$A$4:$A$110,A34,'Goal Log'!$B$4:$B$110,$B$3)</f>
        <v>0</v>
      </c>
      <c r="H34" s="22" t="str">
        <f aca="false">TRIM(CONCATENATE(IF(Matches!K31=$B$3,"MOTM "," "),IF(Matches!L31=$B$3,"GOTW","")))</f>
        <v/>
      </c>
    </row>
    <row r="35" customFormat="false" ht="15" hidden="false" customHeight="false" outlineLevel="0" collapsed="false">
      <c r="A35" s="20" t="n">
        <f aca="false">Matches!A32</f>
        <v>29</v>
      </c>
      <c r="B35" s="20" t="str">
        <f aca="false">Matches!B32</f>
        <v>Summer League</v>
      </c>
      <c r="C35" s="21" t="str">
        <f aca="false">Matches!O32</f>
        <v>Wallasey Pumas</v>
      </c>
      <c r="D35" s="20" t="str">
        <f aca="false">IF(Matches!D32="Neston Nomads Vikings","Home","Away")</f>
        <v>Home</v>
      </c>
      <c r="E35" s="20" t="str">
        <f aca="false">Matches!I32&amp;"-"&amp;Matches!J32</f>
        <v>2-2</v>
      </c>
      <c r="F35" s="20" t="str">
        <f aca="false">Matches!H32</f>
        <v>D</v>
      </c>
      <c r="G35" s="20" t="n">
        <f aca="false">SUMIFS('Goal Log'!$C$4:$C$110,'Goal Log'!$A$4:$A$110,A35,'Goal Log'!$B$4:$B$110,$B$3)</f>
        <v>0</v>
      </c>
      <c r="H35" s="20" t="str">
        <f aca="false">TRIM(CONCATENATE(IF(Matches!K32=$B$3,"MOTM "," "),IF(Matches!L32=$B$3,"GOTW","")))</f>
        <v>GOTW</v>
      </c>
    </row>
    <row r="36" customFormat="false" ht="15" hidden="false" customHeight="false" outlineLevel="0" collapsed="false">
      <c r="A36" s="22" t="n">
        <f aca="false">Matches!A33</f>
        <v>30</v>
      </c>
      <c r="B36" s="22" t="str">
        <f aca="false">Matches!B33</f>
        <v>Summer League</v>
      </c>
      <c r="C36" s="23" t="str">
        <f aca="false">Matches!O33</f>
        <v>Neston Nomads Raiders</v>
      </c>
      <c r="D36" s="22" t="str">
        <f aca="false">IF(Matches!D33="Neston Nomads Vikings","Home","Away")</f>
        <v>Home</v>
      </c>
      <c r="E36" s="22" t="str">
        <f aca="false">Matches!I33&amp;"-"&amp;Matches!J33</f>
        <v>5-1</v>
      </c>
      <c r="F36" s="22" t="str">
        <f aca="false">Matches!H33</f>
        <v>W</v>
      </c>
      <c r="G36" s="22" t="n">
        <f aca="false">SUMIFS('Goal Log'!$C$4:$C$110,'Goal Log'!$A$4:$A$110,A36,'Goal Log'!$B$4:$B$110,$B$3)</f>
        <v>1</v>
      </c>
      <c r="H36" s="22" t="str">
        <f aca="false">TRIM(CONCATENATE(IF(Matches!K33=$B$3,"MOTM "," "),IF(Matches!L33=$B$3,"GOTW","")))</f>
        <v/>
      </c>
    </row>
    <row r="37" customFormat="false" ht="15" hidden="false" customHeight="false" outlineLevel="0" collapsed="false">
      <c r="A37" s="20" t="n">
        <f aca="false">Matches!A34</f>
        <v>31</v>
      </c>
      <c r="B37" s="20" t="str">
        <f aca="false">Matches!B34</f>
        <v>Summer League</v>
      </c>
      <c r="C37" s="21" t="str">
        <f aca="false">Matches!O34</f>
        <v>Saughall Colts</v>
      </c>
      <c r="D37" s="20" t="str">
        <f aca="false">IF(Matches!D34="Neston Nomads Vikings","Home","Away")</f>
        <v>Home</v>
      </c>
      <c r="E37" s="20" t="str">
        <f aca="false">Matches!I34&amp;"-"&amp;Matches!J34</f>
        <v>2-4</v>
      </c>
      <c r="F37" s="20" t="str">
        <f aca="false">Matches!H34</f>
        <v>L</v>
      </c>
      <c r="G37" s="20" t="n">
        <f aca="false">SUMIFS('Goal Log'!$C$4:$C$110,'Goal Log'!$A$4:$A$110,A37,'Goal Log'!$B$4:$B$110,$B$3)</f>
        <v>0</v>
      </c>
      <c r="H37" s="20" t="str">
        <f aca="false">TRIM(CONCATENATE(IF(Matches!K34=$B$3,"MOTM "," "),IF(Matches!L34=$B$3,"GOTW","")))</f>
        <v/>
      </c>
    </row>
    <row r="38" customFormat="false" ht="15" hidden="false" customHeight="false" outlineLevel="0" collapsed="false">
      <c r="A38" s="22" t="n">
        <f aca="false">Matches!A35</f>
        <v>32</v>
      </c>
      <c r="B38" s="22" t="str">
        <f aca="false">Matches!B35</f>
        <v>Summer League</v>
      </c>
      <c r="C38" s="23" t="str">
        <f aca="false">Matches!O35</f>
        <v>West Kirby</v>
      </c>
      <c r="D38" s="22" t="str">
        <f aca="false">IF(Matches!D35="Neston Nomads Vikings","Home","Away")</f>
        <v>Away</v>
      </c>
      <c r="E38" s="22" t="str">
        <f aca="false">Matches!I35&amp;"-"&amp;Matches!J35</f>
        <v>7-0</v>
      </c>
      <c r="F38" s="22" t="str">
        <f aca="false">Matches!H35</f>
        <v>W</v>
      </c>
      <c r="G38" s="22" t="n">
        <f aca="false">SUMIFS('Goal Log'!$C$4:$C$110,'Goal Log'!$A$4:$A$110,A38,'Goal Log'!$B$4:$B$110,$B$3)</f>
        <v>2</v>
      </c>
      <c r="H38" s="22" t="str">
        <f aca="false">TRIM(CONCATENATE(IF(Matches!K35=$B$3,"MOTM "," "),IF(Matches!L35=$B$3,"GOTW","")))</f>
        <v/>
      </c>
    </row>
    <row r="39" customFormat="false" ht="15" hidden="false" customHeight="false" outlineLevel="0" collapsed="false">
      <c r="A39" s="20" t="n">
        <f aca="false">Matches!A36</f>
        <v>33</v>
      </c>
      <c r="B39" s="20" t="str">
        <f aca="false">Matches!B36</f>
        <v>Summer League</v>
      </c>
      <c r="C39" s="21" t="str">
        <f aca="false">Matches!O36</f>
        <v>Wallasey Pumas</v>
      </c>
      <c r="D39" s="20" t="str">
        <f aca="false">IF(Matches!D36="Neston Nomads Vikings","Home","Away")</f>
        <v>Home</v>
      </c>
      <c r="E39" s="20" t="str">
        <f aca="false">Matches!I36&amp;"-"&amp;Matches!J36</f>
        <v>1-1</v>
      </c>
      <c r="F39" s="20" t="str">
        <f aca="false">Matches!H36</f>
        <v>D</v>
      </c>
      <c r="G39" s="20" t="n">
        <f aca="false">SUMIFS('Goal Log'!$C$4:$C$110,'Goal Log'!$A$4:$A$110,A39,'Goal Log'!$B$4:$B$110,$B$3)</f>
        <v>0</v>
      </c>
      <c r="H39" s="20" t="str">
        <f aca="false">TRIM(CONCATENATE(IF(Matches!K36=$B$3,"MOTM "," "),IF(Matches!L36=$B$3,"GOTW","")))</f>
        <v>GOTW</v>
      </c>
    </row>
    <row r="40" customFormat="false" ht="15" hidden="false" customHeight="false" outlineLevel="0" collapsed="false">
      <c r="A40" s="22" t="n">
        <f aca="false">Matches!A37</f>
        <v>34</v>
      </c>
      <c r="B40" s="22" t="str">
        <f aca="false">Matches!B37</f>
        <v>Summer League</v>
      </c>
      <c r="C40" s="23" t="str">
        <f aca="false">Matches!O37</f>
        <v>West Kirby</v>
      </c>
      <c r="D40" s="22" t="str">
        <f aca="false">IF(Matches!D37="Neston Nomads Vikings","Home","Away")</f>
        <v>Home</v>
      </c>
      <c r="E40" s="22" t="str">
        <f aca="false">Matches!I37&amp;"-"&amp;Matches!J37</f>
        <v>9-2</v>
      </c>
      <c r="F40" s="22" t="str">
        <f aca="false">Matches!H37</f>
        <v>W</v>
      </c>
      <c r="G40" s="22" t="n">
        <f aca="false">SUMIFS('Goal Log'!$C$4:$C$110,'Goal Log'!$A$4:$A$110,A40,'Goal Log'!$B$4:$B$110,$B$3)</f>
        <v>0</v>
      </c>
      <c r="H40" s="22" t="str">
        <f aca="false">TRIM(CONCATENATE(IF(Matches!K37=$B$3,"MOTM "," "),IF(Matches!L37=$B$3,"GOTW","")))</f>
        <v/>
      </c>
    </row>
    <row r="41" customFormat="false" ht="15" hidden="false" customHeight="false" outlineLevel="0" collapsed="false">
      <c r="A41" s="20" t="n">
        <f aca="false">Matches!A38</f>
        <v>35</v>
      </c>
      <c r="B41" s="20" t="str">
        <f aca="false">Matches!B38</f>
        <v>Summer League</v>
      </c>
      <c r="C41" s="21" t="str">
        <f aca="false">Matches!O38</f>
        <v>Neston Nomads Raiders</v>
      </c>
      <c r="D41" s="20" t="str">
        <f aca="false">IF(Matches!D38="Neston Nomads Vikings","Home","Away")</f>
        <v>Away</v>
      </c>
      <c r="E41" s="20" t="str">
        <f aca="false">Matches!I38&amp;"-"&amp;Matches!J38</f>
        <v>2-0</v>
      </c>
      <c r="F41" s="20" t="str">
        <f aca="false">Matches!H38</f>
        <v>W</v>
      </c>
      <c r="G41" s="20" t="n">
        <f aca="false">SUMIFS('Goal Log'!$C$4:$C$110,'Goal Log'!$A$4:$A$110,A41,'Goal Log'!$B$4:$B$110,$B$3)</f>
        <v>0</v>
      </c>
      <c r="H41" s="20" t="str">
        <f aca="false">TRIM(CONCATENATE(IF(Matches!K38=$B$3,"MOTM "," "),IF(Matches!L38=$B$3,"GOTW","")))</f>
        <v>GOTW</v>
      </c>
    </row>
  </sheetData>
  <mergeCells count="10">
    <mergeCell ref="A1:G1"/>
    <mergeCell ref="B3:C3"/>
    <mergeCell ref="E3:F3"/>
    <mergeCell ref="G3:H3"/>
    <mergeCell ref="I3:J3"/>
    <mergeCell ref="K3:L3"/>
    <mergeCell ref="E4:F4"/>
    <mergeCell ref="G4:H4"/>
    <mergeCell ref="I4:J4"/>
    <mergeCell ref="K4:L4"/>
  </mergeCells>
  <conditionalFormatting sqref="A7:H41">
    <cfRule type="expression" priority="2" aboveAverage="0" equalAverage="0" bottom="0" percent="0" rank="0" text="" dxfId="3">
      <formula>$G7&gt;0</formula>
    </cfRule>
    <cfRule type="expression" priority="3" aboveAverage="0" equalAverage="0" bottom="0" percent="0" rank="0" text="" dxfId="3">
      <formula>$H7&lt;&gt;""</formula>
    </cfRule>
  </conditionalFormatting>
  <dataValidations count="1">
    <dataValidation allowBlank="false" errorStyle="stop" operator="between" showDropDown="false" showErrorMessage="false" showInputMessage="false" sqref="B3" type="list">
      <formula1>"Alex,Freddie,Harry,Noah,Olly,Max,Will,Sam,Fredrick,Edward"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NeilGabriel</dc:creator>
  <dc:description/>
  <cp:lastModifiedBy/>
  <cp:revision>1</cp:revision>
  <dcterms:created xsi:type="dcterms:W3CDTF">2026-07-12T21:44:13Z</dcterms:created>
  <dcterms:modified xsi:type="dcterms:W3CDTF">2026-07-12T21:44:18Z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